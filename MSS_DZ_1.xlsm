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ЭтаКнига"/>
  <bookViews>
    <workbookView xWindow="-105" yWindow="-105" windowWidth="22140" windowHeight="13170" activeTab="3"/>
  </bookViews>
  <sheets>
    <sheet name="Лист1" sheetId="1" r:id="rId1"/>
    <sheet name="Лист2" sheetId="8" r:id="rId2"/>
    <sheet name="Лист3" sheetId="9" r:id="rId3"/>
    <sheet name="Лист4" sheetId="10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0" l="1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F13" i="10"/>
  <c r="H12" i="10"/>
  <c r="H18" i="10"/>
  <c r="G18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G16" i="10"/>
  <c r="AJ13" i="10"/>
  <c r="C20" i="10"/>
  <c r="C19" i="10"/>
  <c r="G19" i="10" s="1"/>
  <c r="C18" i="10"/>
  <c r="C4" i="10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F16" i="9"/>
  <c r="F13" i="9"/>
  <c r="G16" i="9" s="1"/>
  <c r="H19" i="10" l="1"/>
  <c r="I19" i="10" s="1"/>
  <c r="J19" i="10" s="1"/>
  <c r="K19" i="10" s="1"/>
  <c r="L19" i="10" s="1"/>
  <c r="M19" i="10" s="1"/>
  <c r="N19" i="10" s="1"/>
  <c r="O19" i="10" s="1"/>
  <c r="P19" i="10" s="1"/>
  <c r="Q19" i="10" s="1"/>
  <c r="R19" i="10" s="1"/>
  <c r="S19" i="10" s="1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AD19" i="10" s="1"/>
  <c r="AE19" i="10" s="1"/>
  <c r="AF19" i="10" s="1"/>
  <c r="AG19" i="10" s="1"/>
  <c r="AH19" i="10" s="1"/>
  <c r="AI19" i="10" s="1"/>
  <c r="G20" i="10"/>
  <c r="H20" i="10" s="1"/>
  <c r="I20" i="10" s="1"/>
  <c r="J20" i="10" s="1"/>
  <c r="K20" i="10" s="1"/>
  <c r="L20" i="10" s="1"/>
  <c r="M20" i="10" s="1"/>
  <c r="N20" i="10" s="1"/>
  <c r="O20" i="10" s="1"/>
  <c r="P20" i="10" s="1"/>
  <c r="Q20" i="10" s="1"/>
  <c r="R20" i="10" s="1"/>
  <c r="S20" i="10" s="1"/>
  <c r="T20" i="10" s="1"/>
  <c r="U20" i="10" s="1"/>
  <c r="V20" i="10" s="1"/>
  <c r="W20" i="10" s="1"/>
  <c r="X20" i="10" s="1"/>
  <c r="Y20" i="10" s="1"/>
  <c r="Z20" i="10" s="1"/>
  <c r="AA20" i="10" s="1"/>
  <c r="AB20" i="10" s="1"/>
  <c r="AC20" i="10" s="1"/>
  <c r="AD20" i="10" s="1"/>
  <c r="AE20" i="10" s="1"/>
  <c r="AF20" i="10" s="1"/>
  <c r="AG20" i="10" s="1"/>
  <c r="AH20" i="10" s="1"/>
  <c r="AI20" i="10" s="1"/>
  <c r="AI15" i="10" s="1"/>
  <c r="AH15" i="10" s="1"/>
  <c r="AG15" i="10" s="1"/>
  <c r="AF15" i="10" s="1"/>
  <c r="AE15" i="10" s="1"/>
  <c r="AD15" i="10" s="1"/>
  <c r="AC15" i="10" s="1"/>
  <c r="AB15" i="10" s="1"/>
  <c r="AA15" i="10" s="1"/>
  <c r="Z15" i="10" s="1"/>
  <c r="Y15" i="10" s="1"/>
  <c r="X15" i="10" s="1"/>
  <c r="W15" i="10" s="1"/>
  <c r="V15" i="10" s="1"/>
  <c r="U15" i="10" s="1"/>
  <c r="T15" i="10" s="1"/>
  <c r="S15" i="10" s="1"/>
  <c r="R15" i="10" s="1"/>
  <c r="Q15" i="10" s="1"/>
  <c r="P15" i="10" s="1"/>
  <c r="O15" i="10" s="1"/>
  <c r="N15" i="10" s="1"/>
  <c r="M15" i="10" s="1"/>
  <c r="L15" i="10" s="1"/>
  <c r="K15" i="10" s="1"/>
  <c r="J15" i="10" s="1"/>
  <c r="I15" i="10" s="1"/>
  <c r="H15" i="10" s="1"/>
  <c r="G15" i="10" s="1"/>
  <c r="G12" i="10"/>
  <c r="I12" i="10" s="1"/>
  <c r="J12" i="10" s="1"/>
  <c r="K12" i="10" s="1"/>
  <c r="L12" i="10" s="1"/>
  <c r="M12" i="10" s="1"/>
  <c r="N12" i="10" s="1"/>
  <c r="O12" i="10" s="1"/>
  <c r="P12" i="10" s="1"/>
  <c r="Q12" i="10" s="1"/>
  <c r="R12" i="10" s="1"/>
  <c r="S12" i="10" s="1"/>
  <c r="T12" i="10" s="1"/>
  <c r="U12" i="10" s="1"/>
  <c r="V12" i="10" s="1"/>
  <c r="W12" i="10" s="1"/>
  <c r="X12" i="10" s="1"/>
  <c r="Y12" i="10" s="1"/>
  <c r="Z12" i="10" s="1"/>
  <c r="AA12" i="10" s="1"/>
  <c r="AB12" i="10" s="1"/>
  <c r="AC12" i="10" s="1"/>
  <c r="AD12" i="10" s="1"/>
  <c r="AE12" i="10" s="1"/>
  <c r="AF12" i="10" s="1"/>
  <c r="AG12" i="10" s="1"/>
  <c r="AH12" i="10" s="1"/>
  <c r="AI12" i="10" s="1"/>
  <c r="AJ12" i="10" s="1"/>
  <c r="G15" i="9"/>
  <c r="C5" i="9"/>
  <c r="C4" i="9"/>
  <c r="G12" i="9" l="1"/>
  <c r="H12" i="9" s="1"/>
  <c r="I12" i="9" s="1"/>
  <c r="J12" i="9" s="1"/>
  <c r="K12" i="9" s="1"/>
  <c r="L12" i="9" s="1"/>
  <c r="M12" i="9" s="1"/>
  <c r="N12" i="9" s="1"/>
  <c r="O12" i="9" s="1"/>
  <c r="P12" i="9" s="1"/>
  <c r="Q12" i="9" s="1"/>
  <c r="R12" i="9" s="1"/>
  <c r="S12" i="9" s="1"/>
  <c r="T12" i="9" s="1"/>
  <c r="U12" i="9" s="1"/>
  <c r="V12" i="9" s="1"/>
  <c r="W12" i="9" s="1"/>
  <c r="X12" i="9" s="1"/>
  <c r="Y12" i="9" s="1"/>
  <c r="Z12" i="9" s="1"/>
  <c r="AA12" i="9" s="1"/>
  <c r="AB12" i="9" s="1"/>
  <c r="AC12" i="9" s="1"/>
  <c r="AD12" i="9" s="1"/>
  <c r="AE12" i="9" s="1"/>
  <c r="AF12" i="9" s="1"/>
  <c r="AG12" i="9" s="1"/>
  <c r="AH12" i="9" s="1"/>
  <c r="AI12" i="9" s="1"/>
  <c r="AJ12" i="9" s="1"/>
  <c r="F13" i="8"/>
  <c r="AI16" i="8" l="1"/>
  <c r="AH16" i="8"/>
  <c r="AE16" i="8"/>
  <c r="AD16" i="8"/>
  <c r="AA16" i="8"/>
  <c r="Z16" i="8"/>
  <c r="W16" i="8"/>
  <c r="V16" i="8"/>
  <c r="S16" i="8"/>
  <c r="R16" i="8"/>
  <c r="O16" i="8"/>
  <c r="N16" i="8"/>
  <c r="K16" i="8"/>
  <c r="J16" i="8"/>
  <c r="AJ13" i="8"/>
  <c r="G12" i="8"/>
  <c r="H12" i="8" s="1"/>
  <c r="I12" i="8" s="1"/>
  <c r="J12" i="8" s="1"/>
  <c r="K12" i="8" s="1"/>
  <c r="L12" i="8" s="1"/>
  <c r="M12" i="8" s="1"/>
  <c r="N12" i="8" s="1"/>
  <c r="O12" i="8" s="1"/>
  <c r="P12" i="8" s="1"/>
  <c r="Q12" i="8" s="1"/>
  <c r="R12" i="8" s="1"/>
  <c r="S12" i="8" s="1"/>
  <c r="T12" i="8" s="1"/>
  <c r="U12" i="8" s="1"/>
  <c r="V12" i="8" s="1"/>
  <c r="W12" i="8" s="1"/>
  <c r="X12" i="8" s="1"/>
  <c r="Y12" i="8" s="1"/>
  <c r="Z12" i="8" s="1"/>
  <c r="AA12" i="8" s="1"/>
  <c r="AB12" i="8" s="1"/>
  <c r="AC12" i="8" s="1"/>
  <c r="AD12" i="8" s="1"/>
  <c r="AE12" i="8" s="1"/>
  <c r="AF12" i="8" s="1"/>
  <c r="AG12" i="8" s="1"/>
  <c r="AH12" i="8" s="1"/>
  <c r="AI12" i="8" s="1"/>
  <c r="AJ12" i="8" s="1"/>
  <c r="C4" i="8"/>
  <c r="AG16" i="8" s="1"/>
  <c r="G16" i="8" l="1"/>
  <c r="H16" i="8"/>
  <c r="L16" i="8"/>
  <c r="P16" i="8"/>
  <c r="T16" i="8"/>
  <c r="X16" i="8"/>
  <c r="AB16" i="8"/>
  <c r="AF16" i="8"/>
  <c r="C5" i="8"/>
  <c r="I16" i="8"/>
  <c r="M16" i="8"/>
  <c r="Q16" i="8"/>
  <c r="U16" i="8"/>
  <c r="Y16" i="8"/>
  <c r="AC16" i="8"/>
  <c r="AH15" i="8" l="1"/>
  <c r="AD15" i="8"/>
  <c r="Z15" i="8"/>
  <c r="V15" i="8"/>
  <c r="R15" i="8"/>
  <c r="N15" i="8"/>
  <c r="J15" i="8"/>
  <c r="AG15" i="8"/>
  <c r="AC15" i="8"/>
  <c r="Y15" i="8"/>
  <c r="U15" i="8"/>
  <c r="Q15" i="8"/>
  <c r="M15" i="8"/>
  <c r="I15" i="8"/>
  <c r="AF15" i="8"/>
  <c r="AB15" i="8"/>
  <c r="X15" i="8"/>
  <c r="T15" i="8"/>
  <c r="P15" i="8"/>
  <c r="L15" i="8"/>
  <c r="H15" i="8"/>
  <c r="AI15" i="8"/>
  <c r="AE15" i="8"/>
  <c r="AA15" i="8"/>
  <c r="W15" i="8"/>
  <c r="S15" i="8"/>
  <c r="O15" i="8"/>
  <c r="K15" i="8"/>
  <c r="G15" i="8"/>
  <c r="AJ13" i="1" l="1"/>
  <c r="AI15" i="1" s="1"/>
  <c r="H15" i="1"/>
  <c r="I15" i="1"/>
  <c r="K15" i="1"/>
  <c r="M15" i="1"/>
  <c r="O15" i="1"/>
  <c r="Q15" i="1"/>
  <c r="S15" i="1"/>
  <c r="U15" i="1"/>
  <c r="W15" i="1"/>
  <c r="Y15" i="1"/>
  <c r="AA15" i="1"/>
  <c r="AC15" i="1"/>
  <c r="AE15" i="1"/>
  <c r="AG15" i="1"/>
  <c r="F13" i="1"/>
  <c r="J15" i="1"/>
  <c r="L15" i="1"/>
  <c r="N15" i="1"/>
  <c r="P15" i="1"/>
  <c r="R15" i="1"/>
  <c r="T15" i="1"/>
  <c r="V15" i="1"/>
  <c r="X15" i="1"/>
  <c r="Z15" i="1"/>
  <c r="AB15" i="1"/>
  <c r="AD15" i="1"/>
  <c r="AF15" i="1"/>
  <c r="AH15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C5" i="1"/>
  <c r="G15" i="1" l="1"/>
</calcChain>
</file>

<file path=xl/sharedStrings.xml><?xml version="1.0" encoding="utf-8"?>
<sst xmlns="http://schemas.openxmlformats.org/spreadsheetml/2006/main" count="62" uniqueCount="20">
  <si>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</si>
  <si>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</si>
  <si>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</si>
  <si>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</si>
  <si>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</si>
  <si>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</si>
  <si>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</si>
  <si>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</si>
  <si>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</si>
  <si>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</si>
  <si>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</si>
  <si>
    <t>q_start</t>
  </si>
  <si>
    <t>q</t>
  </si>
  <si>
    <t>α</t>
  </si>
  <si>
    <t>T_gas</t>
  </si>
  <si>
    <t>A</t>
  </si>
  <si>
    <t>B</t>
  </si>
  <si>
    <t>C</t>
  </si>
  <si>
    <t>F</t>
  </si>
  <si>
    <t>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</si>
</sst>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" fontId="0" fillId="0" borderId="0" xfId="0" applyNumberFormat="1"/>
    <xf numFmtId="0" fontId="0" fillId="0" borderId="0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 formatCode="0">
                  <c:v>300</c:v>
                </c:pt>
                <c:pt idx="1">
                  <c:v>293.28675798022084</c:v>
                </c:pt>
                <c:pt idx="2">
                  <c:v>286.57351596044163</c:v>
                </c:pt>
                <c:pt idx="3">
                  <c:v>279.86230950710069</c:v>
                </c:pt>
                <c:pt idx="4">
                  <c:v>273.15110305375981</c:v>
                </c:pt>
                <c:pt idx="5">
                  <c:v>266.44387876927192</c:v>
                </c:pt>
                <c:pt idx="6">
                  <c:v>259.73665448478408</c:v>
                </c:pt>
                <c:pt idx="7">
                  <c:v>253.03518493167226</c:v>
                </c:pt>
                <c:pt idx="8">
                  <c:v>246.33371537856041</c:v>
                </c:pt>
                <c:pt idx="9">
                  <c:v>239.63952160996649</c:v>
                </c:pt>
                <c:pt idx="10">
                  <c:v>232.9453278413726</c:v>
                </c:pt>
                <c:pt idx="11">
                  <c:v>226.25961292373614</c:v>
                </c:pt>
                <c:pt idx="12">
                  <c:v>219.57389800609968</c:v>
                </c:pt>
                <c:pt idx="13">
                  <c:v>212.89749443938217</c:v>
                </c:pt>
                <c:pt idx="14">
                  <c:v>206.22109087266466</c:v>
                </c:pt>
                <c:pt idx="15">
                  <c:v>199.55442420610814</c:v>
                </c:pt>
                <c:pt idx="16">
                  <c:v>192.88775753955161</c:v>
                </c:pt>
                <c:pt idx="17">
                  <c:v>186.23082777313707</c:v>
                </c:pt>
                <c:pt idx="18">
                  <c:v>179.57389800672252</c:v>
                </c:pt>
                <c:pt idx="19">
                  <c:v>172.92627959117306</c:v>
                </c:pt>
                <c:pt idx="20">
                  <c:v>166.2786611756236</c:v>
                </c:pt>
                <c:pt idx="21">
                  <c:v>159.63952161095227</c:v>
                </c:pt>
                <c:pt idx="22">
                  <c:v>153.00038204628092</c:v>
                </c:pt>
                <c:pt idx="23">
                  <c:v>146.3685182660364</c:v>
                </c:pt>
                <c:pt idx="24">
                  <c:v>139.73665448579186</c:v>
                </c:pt>
                <c:pt idx="25">
                  <c:v>133.11054543683622</c:v>
                </c:pt>
                <c:pt idx="26">
                  <c:v>126.48443638788059</c:v>
                </c:pt>
                <c:pt idx="27">
                  <c:v>119.86230950770994</c:v>
                </c:pt>
                <c:pt idx="28">
                  <c:v>113.24018262753927</c:v>
                </c:pt>
                <c:pt idx="29">
                  <c:v>106.62009131376963</c:v>
                </c:pt>
                <c:pt idx="30" formatCode="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682-437F-91F1-0DCF1C68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Лист2!$F$13:$AJ$13</c:f>
              <c:numCache>
                <c:formatCode>0.000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71-45A1-B68A-139DBE4D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10176"/>
        <c:axId val="224611712"/>
      </c:scatterChart>
      <c:valAx>
        <c:axId val="2246101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611712"/>
        <c:crosses val="autoZero"/>
        <c:crossBetween val="midCat"/>
      </c:valAx>
      <c:valAx>
        <c:axId val="224611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61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Лист3!$F$12:$AJ$12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Лист3!$F$13:$AJ$13</c:f>
              <c:numCache>
                <c:formatCode>0.000</c:formatCode>
                <c:ptCount val="31"/>
                <c:pt idx="0">
                  <c:v>29.661999197871289</c:v>
                </c:pt>
                <c:pt idx="1">
                  <c:v>29.296781806566941</c:v>
                </c:pt>
                <c:pt idx="2">
                  <c:v>28.935233895675822</c:v>
                </c:pt>
                <c:pt idx="3">
                  <c:v>28.57734500133509</c:v>
                </c:pt>
                <c:pt idx="4">
                  <c:v>28.223094474061632</c:v>
                </c:pt>
                <c:pt idx="5">
                  <c:v>27.872451042938547</c:v>
                </c:pt>
                <c:pt idx="6">
                  <c:v>27.525373638766656</c:v>
                </c:pt>
                <c:pt idx="7">
                  <c:v>27.181810544127231</c:v>
                </c:pt>
                <c:pt idx="8">
                  <c:v>26.841700727225529</c:v>
                </c:pt>
                <c:pt idx="9">
                  <c:v>26.504972620206598</c:v>
                </c:pt>
                <c:pt idx="10">
                  <c:v>26.171545908345795</c:v>
                </c:pt>
                <c:pt idx="11">
                  <c:v>25.84132999772142</c:v>
                </c:pt>
                <c:pt idx="12">
                  <c:v>25.514226185724361</c:v>
                </c:pt>
                <c:pt idx="13">
                  <c:v>25.190125895089981</c:v>
                </c:pt>
                <c:pt idx="14">
                  <c:v>24.868913136284426</c:v>
                </c:pt>
                <c:pt idx="15">
                  <c:v>24.550462597229068</c:v>
                </c:pt>
                <c:pt idx="16">
                  <c:v>24.23464229665047</c:v>
                </c:pt>
                <c:pt idx="17">
                  <c:v>23.921311627016443</c:v>
                </c:pt>
                <c:pt idx="18">
                  <c:v>23.610324090909334</c:v>
                </c:pt>
                <c:pt idx="19">
                  <c:v>23.301525398344417</c:v>
                </c:pt>
                <c:pt idx="20">
                  <c:v>22.994756175941333</c:v>
                </c:pt>
                <c:pt idx="21">
                  <c:v>22.689850218730903</c:v>
                </c:pt>
                <c:pt idx="22">
                  <c:v>22.386637064443796</c:v>
                </c:pt>
                <c:pt idx="23">
                  <c:v>22.084940494163121</c:v>
                </c:pt>
                <c:pt idx="24">
                  <c:v>21.784580871292931</c:v>
                </c:pt>
                <c:pt idx="25">
                  <c:v>21.485373975227027</c:v>
                </c:pt>
                <c:pt idx="26">
                  <c:v>21.187133016162292</c:v>
                </c:pt>
                <c:pt idx="27">
                  <c:v>20.889667871777267</c:v>
                </c:pt>
                <c:pt idx="28">
                  <c:v>20.592786704481462</c:v>
                </c:pt>
                <c:pt idx="29">
                  <c:v>20.296295653561259</c:v>
                </c:pt>
                <c:pt idx="30" formatCode="0">
                  <c:v>20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71-45A1-B68A-139DBE4D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600"/>
        <c:axId val="130024192"/>
      </c:scatterChart>
      <c:valAx>
        <c:axId val="1000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024192"/>
        <c:crosses val="autoZero"/>
        <c:crossBetween val="midCat"/>
      </c:valAx>
      <c:valAx>
        <c:axId val="130024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0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Лист4!$F$12:$AJ$12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Лист4!$F$13:$AJ$13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125.98510031199007</c:v>
                </c:pt>
                <c:pt idx="2">
                  <c:v>48.029799376019895</c:v>
                </c:pt>
                <c:pt idx="3">
                  <c:v>18.59001827905394</c:v>
                </c:pt>
                <c:pt idx="4">
                  <c:v>7.2128994012468883</c:v>
                </c:pt>
                <c:pt idx="5">
                  <c:v>2.7997196416876764</c:v>
                </c:pt>
                <c:pt idx="6">
                  <c:v>1.0867960305041822</c:v>
                </c:pt>
                <c:pt idx="7">
                  <c:v>0.42187744356895224</c:v>
                </c:pt>
                <c:pt idx="8">
                  <c:v>0.16376660834132173</c:v>
                </c:pt>
                <c:pt idx="9">
                  <c:v>6.3571803719579822E-2</c:v>
                </c:pt>
                <c:pt idx="10">
                  <c:v>2.4677646249006716E-2</c:v>
                </c:pt>
                <c:pt idx="11">
                  <c:v>9.579502133585955E-3</c:v>
                </c:pt>
                <c:pt idx="12">
                  <c:v>3.7186229320738942E-3</c:v>
                </c:pt>
                <c:pt idx="13">
                  <c:v>1.4435151557533846E-3</c:v>
                </c:pt>
                <c:pt idx="14">
                  <c:v>5.603515176936404E-4</c:v>
                </c:pt>
                <c:pt idx="15">
                  <c:v>2.1752028464263123E-4</c:v>
                </c:pt>
                <c:pt idx="16">
                  <c:v>8.4438176269057422E-5</c:v>
                </c:pt>
                <c:pt idx="17">
                  <c:v>3.2777874215581397E-5</c:v>
                </c:pt>
                <c:pt idx="18">
                  <c:v>1.2722111431858111E-5</c:v>
                </c:pt>
                <c:pt idx="19">
                  <c:v>4.9539055694919282E-6</c:v>
                </c:pt>
                <c:pt idx="20">
                  <c:v>1.7904334329612879E-6</c:v>
                </c:pt>
                <c:pt idx="21">
                  <c:v>1.8391745589065234E-6</c:v>
                </c:pt>
                <c:pt idx="22">
                  <c:v>-9.1584970507431204E-6</c:v>
                </c:pt>
                <c:pt idx="23">
                  <c:v>8.1630008433065704E-5</c:v>
                </c:pt>
                <c:pt idx="24">
                  <c:v>-7.0334049029115381E-4</c:v>
                </c:pt>
                <c:pt idx="25">
                  <c:v>6.0692282442399298E-3</c:v>
                </c:pt>
                <c:pt idx="26">
                  <c:v>-5.2368720820943904E-2</c:v>
                </c:pt>
                <c:pt idx="27">
                  <c:v>0.45186820289118668</c:v>
                </c:pt>
                <c:pt idx="28">
                  <c:v>-3.8989847689813057</c:v>
                </c:pt>
                <c:pt idx="29">
                  <c:v>33.642735260059268</c:v>
                </c:pt>
                <c:pt idx="30" formatCode="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71-45A1-B68A-139DBE4D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41024"/>
        <c:axId val="157442816"/>
      </c:scatterChart>
      <c:valAx>
        <c:axId val="15744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42816"/>
        <c:crosses val="autoZero"/>
        <c:crossBetween val="midCat"/>
      </c:valAx>
      <c:valAx>
        <c:axId val="157442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4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</xdr:colOff>
      <xdr:row>16</xdr:row>
      <xdr:rowOff>149860</xdr:rowOff>
    </xdr:from>
    <xdr:to>
      <xdr:col>15</xdr:col>
      <xdr:colOff>241300</xdr:colOff>
      <xdr:row>50</xdr:row>
      <xdr:rowOff>101600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4093193-D8B8-4FF0-8F3D-B0772A3FB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44450</xdr:colOff>
      <xdr:row>17</xdr:row>
      <xdr:rowOff>13337</xdr:rowOff>
    </xdr:from>
    <xdr:ext cx="5429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5528E5C-1776-4C6C-8868-459923C6B533}"/>
                </a:ext>
              </a:extLst>
            </xdr:cNvPr>
            <xdr:cNvSpPr txBox="1"/>
          </xdr:nvSpPr>
          <xdr:spPr>
            <a:xfrm>
              <a:off x="3702050" y="334073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528E5C-1776-4C6C-8868-459923C6B533}"/>
                </a:ext>
              </a:extLst>
            </xdr:cNvPr>
            <xdr:cNvSpPr txBox="1"/>
          </xdr:nvSpPr>
          <xdr:spPr>
            <a:xfrm>
              <a:off x="3702050" y="334073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14</xdr:col>
      <xdr:colOff>85724</xdr:colOff>
      <xdr:row>48</xdr:row>
      <xdr:rowOff>95251</xdr:rowOff>
    </xdr:from>
    <xdr:ext cx="7334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="" id="{F32611E3-FD6B-4B13-A04E-35EA04FBA22C}"/>
                </a:ext>
              </a:extLst>
            </xdr:cNvPr>
            <xdr:cNvSpPr txBox="1"/>
          </xdr:nvSpPr>
          <xdr:spPr>
            <a:xfrm>
              <a:off x="8620124" y="893445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32611E3-FD6B-4B13-A04E-35EA04FBA22C}"/>
                </a:ext>
              </a:extLst>
            </xdr:cNvPr>
            <xdr:cNvSpPr txBox="1"/>
          </xdr:nvSpPr>
          <xdr:spPr>
            <a:xfrm>
              <a:off x="8620124" y="893445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</xdr:colOff>
      <xdr:row>16</xdr:row>
      <xdr:rowOff>149860</xdr:rowOff>
    </xdr:from>
    <xdr:to>
      <xdr:col>15</xdr:col>
      <xdr:colOff>241300</xdr:colOff>
      <xdr:row>50</xdr:row>
      <xdr:rowOff>101600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16FDD6EE-F00B-4EF3-A896-9621AF015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44450</xdr:colOff>
      <xdr:row>17</xdr:row>
      <xdr:rowOff>13337</xdr:rowOff>
    </xdr:from>
    <xdr:ext cx="5429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558EE0A0-CFE1-4A72-BE55-D607DA8AAD01}"/>
                </a:ext>
              </a:extLst>
            </xdr:cNvPr>
            <xdr:cNvSpPr txBox="1"/>
          </xdr:nvSpPr>
          <xdr:spPr>
            <a:xfrm>
              <a:off x="3823970" y="330517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58EE0A0-CFE1-4A72-BE55-D607DA8AAD01}"/>
                </a:ext>
              </a:extLst>
            </xdr:cNvPr>
            <xdr:cNvSpPr txBox="1"/>
          </xdr:nvSpPr>
          <xdr:spPr>
            <a:xfrm>
              <a:off x="3823970" y="330517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14</xdr:col>
      <xdr:colOff>85724</xdr:colOff>
      <xdr:row>48</xdr:row>
      <xdr:rowOff>95251</xdr:rowOff>
    </xdr:from>
    <xdr:ext cx="7334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5A0A18A7-D3CE-467B-9DFA-3ACB0E33C670}"/>
                </a:ext>
              </a:extLst>
            </xdr:cNvPr>
            <xdr:cNvSpPr txBox="1"/>
          </xdr:nvSpPr>
          <xdr:spPr>
            <a:xfrm>
              <a:off x="8863964" y="905637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A0A18A7-D3CE-467B-9DFA-3ACB0E33C670}"/>
                </a:ext>
              </a:extLst>
            </xdr:cNvPr>
            <xdr:cNvSpPr txBox="1"/>
          </xdr:nvSpPr>
          <xdr:spPr>
            <a:xfrm>
              <a:off x="8863964" y="905637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</xdr:colOff>
      <xdr:row>16</xdr:row>
      <xdr:rowOff>149860</xdr:rowOff>
    </xdr:from>
    <xdr:to>
      <xdr:col>15</xdr:col>
      <xdr:colOff>241300</xdr:colOff>
      <xdr:row>50</xdr:row>
      <xdr:rowOff>101600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16FDD6EE-F00B-4EF3-A896-9621AF015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44450</xdr:colOff>
      <xdr:row>17</xdr:row>
      <xdr:rowOff>13337</xdr:rowOff>
    </xdr:from>
    <xdr:ext cx="5429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558EE0A0-CFE1-4A72-BE55-D607DA8AAD01}"/>
                </a:ext>
              </a:extLst>
            </xdr:cNvPr>
            <xdr:cNvSpPr txBox="1"/>
          </xdr:nvSpPr>
          <xdr:spPr>
            <a:xfrm>
              <a:off x="3806825" y="323278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558EE0A0-CFE1-4A72-BE55-D607DA8AAD01}"/>
                </a:ext>
              </a:extLst>
            </xdr:cNvPr>
            <xdr:cNvSpPr txBox="1"/>
          </xdr:nvSpPr>
          <xdr:spPr>
            <a:xfrm>
              <a:off x="3806825" y="323278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14</xdr:col>
      <xdr:colOff>85724</xdr:colOff>
      <xdr:row>48</xdr:row>
      <xdr:rowOff>95251</xdr:rowOff>
    </xdr:from>
    <xdr:ext cx="7334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5A0A18A7-D3CE-467B-9DFA-3ACB0E33C670}"/>
                </a:ext>
              </a:extLst>
            </xdr:cNvPr>
            <xdr:cNvSpPr txBox="1"/>
          </xdr:nvSpPr>
          <xdr:spPr>
            <a:xfrm>
              <a:off x="8829674" y="922020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:a14="http://schemas.microsoft.com/office/drawing/2010/main" xmlns="" id="{5A0A18A7-D3CE-467B-9DFA-3ACB0E33C670}"/>
                </a:ext>
              </a:extLst>
            </xdr:cNvPr>
            <xdr:cNvSpPr txBox="1"/>
          </xdr:nvSpPr>
          <xdr:spPr>
            <a:xfrm>
              <a:off x="8829674" y="922020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116205</xdr:colOff>
      <xdr:row>20</xdr:row>
      <xdr:rowOff>149860</xdr:rowOff>
    </xdr:from>
    <xdr:to>
      <xdr:col>14</xdr:col>
      <xdr:colOff>241300</xdr:colOff>
      <xdr:row>54</xdr:row>
      <xdr:rowOff>165100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16FDD6EE-F00B-4EF3-A896-9621AF015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155575</xdr:colOff>
      <xdr:row>20</xdr:row>
      <xdr:rowOff>203837</xdr:rowOff>
    </xdr:from>
    <xdr:ext cx="5429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558EE0A0-CFE1-4A72-BE55-D607DA8AAD01}"/>
                </a:ext>
              </a:extLst>
            </xdr:cNvPr>
            <xdr:cNvSpPr txBox="1"/>
          </xdr:nvSpPr>
          <xdr:spPr>
            <a:xfrm>
              <a:off x="3346450" y="4315462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558EE0A0-CFE1-4A72-BE55-D607DA8AAD01}"/>
                </a:ext>
              </a:extLst>
            </xdr:cNvPr>
            <xdr:cNvSpPr txBox="1"/>
          </xdr:nvSpPr>
          <xdr:spPr>
            <a:xfrm>
              <a:off x="3346450" y="4315462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13</xdr:col>
      <xdr:colOff>85724</xdr:colOff>
      <xdr:row>53</xdr:row>
      <xdr:rowOff>63501</xdr:rowOff>
    </xdr:from>
    <xdr:ext cx="733425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="" id="{5A0A18A7-D3CE-467B-9DFA-3ACB0E33C670}"/>
                </a:ext>
              </a:extLst>
            </xdr:cNvPr>
            <xdr:cNvSpPr txBox="1"/>
          </xdr:nvSpPr>
          <xdr:spPr>
            <a:xfrm>
              <a:off x="8324849" y="1047750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xmlns:a14="http://schemas.microsoft.com/office/drawing/2010/main" xmlns="" id="{5A0A18A7-D3CE-467B-9DFA-3ACB0E33C670}"/>
                </a:ext>
              </a:extLst>
            </xdr:cNvPr>
            <xdr:cNvSpPr txBox="1"/>
          </xdr:nvSpPr>
          <xdr:spPr>
            <a:xfrm>
              <a:off x="8324849" y="1047750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J15"/>
  <sheetViews>
    <sheetView topLeftCell="B1" zoomScale="60" zoomScaleNormal="60" workbookViewId="0">
      <selection activeCell="D40" sqref="D40"/>
    </sheetView>
  </sheetViews>
  <sheetFormatPr defaultRowHeight="15" x14ac:dyDescent="0.25"/>
  <sheetData>
    <row r="2" spans="1:36" thickBot="1" x14ac:dyDescent="0.35"/>
    <row r="3" spans="1:36" ht="15.6" thickTop="1" thickBot="1" x14ac:dyDescent="0.35">
      <c r="B3" s="1" t="s">
        <v>0</v>
      </c>
      <c r="C3" s="5">
        <v>0.1</v>
      </c>
    </row>
    <row r="4" spans="1:36" ht="15.6" thickTop="1" thickBot="1" x14ac:dyDescent="0.35">
      <c r="B4" s="1" t="s">
        <v>1</v>
      </c>
      <c r="C4" s="2">
        <f>C3/30</f>
        <v>3.3333333333333335E-3</v>
      </c>
    </row>
    <row r="5" spans="1:36" ht="15.6" thickTop="1" thickBot="1" x14ac:dyDescent="0.35">
      <c r="B5" s="1" t="s">
        <v>2</v>
      </c>
      <c r="C5" s="2">
        <f>(C9*C8*C4^2)/(2*C10)</f>
        <v>0.4333333333333334</v>
      </c>
    </row>
    <row r="6" spans="1:36" ht="15.6" thickTop="1" thickBot="1" x14ac:dyDescent="0.35">
      <c r="B6" s="1" t="s">
        <v>3</v>
      </c>
      <c r="C6" s="6">
        <v>500</v>
      </c>
      <c r="D6">
        <v>500.06666666666672</v>
      </c>
    </row>
    <row r="7" spans="1:36" ht="15.6" thickTop="1" thickBot="1" x14ac:dyDescent="0.35">
      <c r="A7" s="9"/>
      <c r="B7" s="10"/>
      <c r="C7" s="10"/>
      <c r="D7" s="9"/>
    </row>
    <row r="8" spans="1:36" ht="15.6" thickTop="1" thickBot="1" x14ac:dyDescent="0.35">
      <c r="B8" s="1" t="s">
        <v>4</v>
      </c>
      <c r="C8" s="6">
        <v>460</v>
      </c>
    </row>
    <row r="9" spans="1:36" ht="15.6" thickTop="1" thickBot="1" x14ac:dyDescent="0.35">
      <c r="B9" s="1" t="s">
        <v>5</v>
      </c>
      <c r="C9" s="6">
        <v>7800</v>
      </c>
    </row>
    <row r="10" spans="1:36" ht="15.6" thickTop="1" thickBot="1" x14ac:dyDescent="0.35">
      <c r="B10" s="1" t="s">
        <v>6</v>
      </c>
      <c r="C10" s="6">
        <v>46</v>
      </c>
    </row>
    <row r="11" spans="1:36" ht="15.6" thickTop="1" thickBot="1" x14ac:dyDescent="0.35">
      <c r="A11" s="9"/>
      <c r="B11" s="10"/>
      <c r="C11" s="10"/>
      <c r="D11" s="9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5.6" thickTop="1" thickBot="1" x14ac:dyDescent="0.35">
      <c r="B12" s="1" t="s">
        <v>7</v>
      </c>
      <c r="C12" s="6">
        <v>300</v>
      </c>
      <c r="E12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ht="15.6" thickTop="1" thickBot="1" x14ac:dyDescent="0.35">
      <c r="B13" s="1" t="s">
        <v>8</v>
      </c>
      <c r="C13" s="6">
        <v>100</v>
      </c>
      <c r="E13" t="s">
        <v>9</v>
      </c>
      <c r="F13" s="4">
        <f>C12</f>
        <v>300</v>
      </c>
      <c r="G13" s="3">
        <v>293.28675798022084</v>
      </c>
      <c r="H13" s="3">
        <v>286.57351596044163</v>
      </c>
      <c r="I13" s="3">
        <v>279.86230950710069</v>
      </c>
      <c r="J13" s="3">
        <v>273.15110305375981</v>
      </c>
      <c r="K13" s="3">
        <v>266.44387876927192</v>
      </c>
      <c r="L13" s="3">
        <v>259.73665448478408</v>
      </c>
      <c r="M13" s="3">
        <v>253.03518493167226</v>
      </c>
      <c r="N13" s="3">
        <v>246.33371537856041</v>
      </c>
      <c r="O13" s="3">
        <v>239.63952160996649</v>
      </c>
      <c r="P13" s="3">
        <v>232.9453278413726</v>
      </c>
      <c r="Q13" s="3">
        <v>226.25961292373614</v>
      </c>
      <c r="R13" s="3">
        <v>219.57389800609968</v>
      </c>
      <c r="S13" s="3">
        <v>212.89749443938217</v>
      </c>
      <c r="T13" s="3">
        <v>206.22109087266466</v>
      </c>
      <c r="U13" s="3">
        <v>199.55442420610814</v>
      </c>
      <c r="V13" s="3">
        <v>192.88775753955161</v>
      </c>
      <c r="W13" s="3">
        <v>186.23082777313707</v>
      </c>
      <c r="X13" s="3">
        <v>179.57389800672252</v>
      </c>
      <c r="Y13" s="3">
        <v>172.92627959117306</v>
      </c>
      <c r="Z13" s="3">
        <v>166.2786611756236</v>
      </c>
      <c r="AA13" s="3">
        <v>159.63952161095227</v>
      </c>
      <c r="AB13" s="3">
        <v>153.00038204628092</v>
      </c>
      <c r="AC13" s="3">
        <v>146.3685182660364</v>
      </c>
      <c r="AD13" s="3">
        <v>139.73665448579186</v>
      </c>
      <c r="AE13" s="3">
        <v>133.11054543683622</v>
      </c>
      <c r="AF13" s="3">
        <v>126.48443638788059</v>
      </c>
      <c r="AG13" s="3">
        <v>119.86230950770994</v>
      </c>
      <c r="AH13" s="3">
        <v>113.24018262753927</v>
      </c>
      <c r="AI13" s="3">
        <v>106.62009131376963</v>
      </c>
      <c r="AJ13" s="4">
        <f>C13</f>
        <v>100</v>
      </c>
    </row>
    <row r="14" spans="1:36" thickTop="1" x14ac:dyDescent="0.3"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ht="14.45" x14ac:dyDescent="0.3">
      <c r="E15" t="s">
        <v>10</v>
      </c>
      <c r="F15" s="3"/>
      <c r="G15" s="3">
        <f t="shared" ref="G15:AI15" si="1">G13+(($C$10*$C$5)/($C$9*$C$8))*((H13-2*G13+F13)/($C$4^2))</f>
        <v>293.28675798022084</v>
      </c>
      <c r="H15" s="3">
        <f t="shared" si="1"/>
        <v>286.57453374366077</v>
      </c>
      <c r="I15" s="3">
        <f t="shared" si="1"/>
        <v>279.86230950710069</v>
      </c>
      <c r="J15" s="3">
        <f t="shared" si="1"/>
        <v>273.1530941381863</v>
      </c>
      <c r="K15" s="3">
        <f t="shared" si="1"/>
        <v>266.44387876927192</v>
      </c>
      <c r="L15" s="3">
        <f t="shared" si="1"/>
        <v>259.73953185047208</v>
      </c>
      <c r="M15" s="3">
        <f t="shared" si="1"/>
        <v>253.03518493167223</v>
      </c>
      <c r="N15" s="3">
        <f t="shared" si="1"/>
        <v>246.33735327081939</v>
      </c>
      <c r="O15" s="3">
        <f t="shared" si="1"/>
        <v>239.63952160996649</v>
      </c>
      <c r="P15" s="3">
        <f t="shared" si="1"/>
        <v>232.94956726685132</v>
      </c>
      <c r="Q15" s="3">
        <f t="shared" si="1"/>
        <v>226.25961292373614</v>
      </c>
      <c r="R15" s="3">
        <f t="shared" si="1"/>
        <v>219.57855368155916</v>
      </c>
      <c r="S15" s="3">
        <f t="shared" si="1"/>
        <v>212.89749443938217</v>
      </c>
      <c r="T15" s="3">
        <f t="shared" si="1"/>
        <v>206.22595932274515</v>
      </c>
      <c r="U15" s="3">
        <f t="shared" si="1"/>
        <v>199.55442420610814</v>
      </c>
      <c r="V15" s="3">
        <f t="shared" si="1"/>
        <v>192.89262598962262</v>
      </c>
      <c r="W15" s="3">
        <f t="shared" si="1"/>
        <v>186.23082777313707</v>
      </c>
      <c r="X15" s="3">
        <f t="shared" si="1"/>
        <v>179.57855368215507</v>
      </c>
      <c r="Y15" s="3">
        <f t="shared" si="1"/>
        <v>172.92627959117306</v>
      </c>
      <c r="Z15" s="3">
        <f t="shared" si="1"/>
        <v>166.28290060106266</v>
      </c>
      <c r="AA15" s="3">
        <f t="shared" si="1"/>
        <v>159.63952161095227</v>
      </c>
      <c r="AB15" s="3">
        <f t="shared" si="1"/>
        <v>153.00401993849434</v>
      </c>
      <c r="AC15" s="3">
        <f t="shared" si="1"/>
        <v>146.3685182660364</v>
      </c>
      <c r="AD15" s="3">
        <f t="shared" si="1"/>
        <v>139.73953185143631</v>
      </c>
      <c r="AE15" s="3">
        <f t="shared" si="1"/>
        <v>133.11054543683622</v>
      </c>
      <c r="AF15" s="3">
        <f t="shared" si="1"/>
        <v>126.48642747227308</v>
      </c>
      <c r="AG15" s="3">
        <f t="shared" si="1"/>
        <v>119.86230950770994</v>
      </c>
      <c r="AH15" s="3">
        <f t="shared" si="1"/>
        <v>113.24120041073979</v>
      </c>
      <c r="AI15" s="3">
        <f t="shared" si="1"/>
        <v>106.62009131376963</v>
      </c>
      <c r="AJ15" s="3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J16"/>
  <sheetViews>
    <sheetView zoomScale="60" zoomScaleNormal="60" workbookViewId="0">
      <selection activeCell="G13" sqref="G13"/>
    </sheetView>
  </sheetViews>
  <sheetFormatPr defaultRowHeight="15" x14ac:dyDescent="0.25"/>
  <cols>
    <col min="6" max="7" width="10.7109375" bestFit="1" customWidth="1"/>
  </cols>
  <sheetData>
    <row r="2" spans="1:36" thickBot="1" x14ac:dyDescent="0.35"/>
    <row r="3" spans="1:36" ht="15.6" thickTop="1" thickBot="1" x14ac:dyDescent="0.35">
      <c r="B3" s="1" t="s">
        <v>0</v>
      </c>
      <c r="C3" s="5">
        <v>0.1</v>
      </c>
    </row>
    <row r="4" spans="1:36" ht="15.6" thickTop="1" thickBot="1" x14ac:dyDescent="0.35">
      <c r="B4" s="1" t="s">
        <v>1</v>
      </c>
      <c r="C4" s="2">
        <f>C3/30</f>
        <v>3.3333333333333335E-3</v>
      </c>
    </row>
    <row r="5" spans="1:36" ht="15.6" thickTop="1" thickBot="1" x14ac:dyDescent="0.35">
      <c r="B5" s="1" t="s">
        <v>2</v>
      </c>
      <c r="C5" s="2">
        <f>(C9*C8*C4^2)/(2*C10)</f>
        <v>0.4333333333333334</v>
      </c>
    </row>
    <row r="6" spans="1:36" ht="15.6" thickTop="1" thickBot="1" x14ac:dyDescent="0.35">
      <c r="B6" s="1" t="s">
        <v>3</v>
      </c>
      <c r="C6" s="6">
        <v>5000</v>
      </c>
      <c r="D6">
        <v>5000.2333333333345</v>
      </c>
    </row>
    <row r="7" spans="1:36" ht="15.6" thickTop="1" thickBot="1" x14ac:dyDescent="0.35">
      <c r="A7" s="9"/>
      <c r="B7" s="10"/>
      <c r="C7" s="10"/>
      <c r="D7" s="9"/>
    </row>
    <row r="8" spans="1:36" ht="15.6" thickTop="1" thickBot="1" x14ac:dyDescent="0.35">
      <c r="B8" s="1" t="s">
        <v>4</v>
      </c>
      <c r="C8" s="6">
        <v>460</v>
      </c>
    </row>
    <row r="9" spans="1:36" ht="15.6" thickTop="1" thickBot="1" x14ac:dyDescent="0.35">
      <c r="B9" s="1" t="s">
        <v>5</v>
      </c>
      <c r="C9" s="6">
        <v>7800</v>
      </c>
    </row>
    <row r="10" spans="1:36" ht="15.6" thickTop="1" thickBot="1" x14ac:dyDescent="0.35">
      <c r="B10" s="1" t="s">
        <v>6</v>
      </c>
      <c r="C10" s="6">
        <v>46</v>
      </c>
    </row>
    <row r="11" spans="1:36" ht="15.6" thickTop="1" thickBot="1" x14ac:dyDescent="0.35">
      <c r="A11" s="9"/>
      <c r="B11" s="10"/>
      <c r="C11" s="10"/>
      <c r="D11" s="9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5.6" thickTop="1" thickBot="1" x14ac:dyDescent="0.35">
      <c r="B12" s="1" t="s">
        <v>11</v>
      </c>
      <c r="C12" s="6">
        <v>92000</v>
      </c>
      <c r="E12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ht="15.6" thickTop="1" thickBot="1" x14ac:dyDescent="0.35">
      <c r="B13" s="1" t="s">
        <v>8</v>
      </c>
      <c r="C13" s="6">
        <v>100</v>
      </c>
      <c r="E13" t="s">
        <v>9</v>
      </c>
      <c r="F13" s="11">
        <f>(F16/C10)*C4+G13</f>
        <v>299.99997763108735</v>
      </c>
      <c r="G13" s="11">
        <v>293.33331096442066</v>
      </c>
      <c r="H13" s="11">
        <v>286.6666443611611</v>
      </c>
      <c r="I13" s="11">
        <v>279.99997782112894</v>
      </c>
      <c r="J13" s="11">
        <v>273.33331134396514</v>
      </c>
      <c r="K13" s="11">
        <v>266.66664492913264</v>
      </c>
      <c r="L13" s="11">
        <v>259.99997857591751</v>
      </c>
      <c r="M13" s="11">
        <v>253.3333122834313</v>
      </c>
      <c r="N13" s="11">
        <v>246.66664605061328</v>
      </c>
      <c r="O13" s="11">
        <v>239.99997987623377</v>
      </c>
      <c r="P13" s="11">
        <v>233.33331375889719</v>
      </c>
      <c r="Q13" s="11">
        <v>226.66664769704656</v>
      </c>
      <c r="R13" s="11">
        <v>219.9999816889673</v>
      </c>
      <c r="S13" s="11">
        <v>213.33331573279273</v>
      </c>
      <c r="T13" s="11">
        <v>206.66664982650872</v>
      </c>
      <c r="U13" s="11">
        <v>199.99998396796005</v>
      </c>
      <c r="V13" s="11">
        <v>193.33331815485587</v>
      </c>
      <c r="W13" s="11">
        <v>186.6666523847768</v>
      </c>
      <c r="X13" s="11">
        <v>179.99998665518126</v>
      </c>
      <c r="Y13" s="11">
        <v>173.33332096341309</v>
      </c>
      <c r="Z13" s="11">
        <v>166.66665530670878</v>
      </c>
      <c r="AA13" s="11">
        <v>159.9999896822055</v>
      </c>
      <c r="AB13" s="11">
        <v>153.33332408694912</v>
      </c>
      <c r="AC13" s="11">
        <v>146.66665851790265</v>
      </c>
      <c r="AD13" s="11">
        <v>139.99999297195473</v>
      </c>
      <c r="AE13" s="11">
        <v>133.33332744592857</v>
      </c>
      <c r="AF13" s="11">
        <v>126.66666193659087</v>
      </c>
      <c r="AG13" s="11">
        <v>119.99999644066111</v>
      </c>
      <c r="AH13" s="11">
        <v>113.3333309548207</v>
      </c>
      <c r="AI13" s="11">
        <v>106.66666547572241</v>
      </c>
      <c r="AJ13" s="4">
        <f>C13</f>
        <v>100</v>
      </c>
    </row>
    <row r="14" spans="1:36" thickTop="1" x14ac:dyDescent="0.3"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ht="14.45" x14ac:dyDescent="0.3">
      <c r="E15" t="s">
        <v>10</v>
      </c>
      <c r="F15" s="3"/>
      <c r="G15" s="3">
        <f t="shared" ref="G15:AI15" si="1">G13+(($C$10*$C$5)/($C$9*$C$8))*((H13-2*G13+F13)/($C$4^2))</f>
        <v>293.33331099612423</v>
      </c>
      <c r="H15" s="3">
        <f t="shared" si="1"/>
        <v>286.6666443927748</v>
      </c>
      <c r="I15" s="3">
        <f t="shared" si="1"/>
        <v>279.99997785256312</v>
      </c>
      <c r="J15" s="3">
        <f t="shared" si="1"/>
        <v>273.33331137513079</v>
      </c>
      <c r="K15" s="3">
        <f t="shared" si="1"/>
        <v>266.66664495994132</v>
      </c>
      <c r="L15" s="3">
        <f t="shared" si="1"/>
        <v>259.99997860628196</v>
      </c>
      <c r="M15" s="3">
        <f t="shared" si="1"/>
        <v>253.3333123132654</v>
      </c>
      <c r="N15" s="3">
        <f t="shared" si="1"/>
        <v>246.66664607983253</v>
      </c>
      <c r="O15" s="3">
        <f t="shared" si="1"/>
        <v>239.99997990475524</v>
      </c>
      <c r="P15" s="3">
        <f t="shared" si="1"/>
        <v>233.33331378664016</v>
      </c>
      <c r="Q15" s="3">
        <f t="shared" si="1"/>
        <v>226.66664772393224</v>
      </c>
      <c r="R15" s="3">
        <f t="shared" si="1"/>
        <v>219.99998171491964</v>
      </c>
      <c r="S15" s="3">
        <f t="shared" si="1"/>
        <v>213.33331575773801</v>
      </c>
      <c r="T15" s="3">
        <f t="shared" si="1"/>
        <v>206.66664985037639</v>
      </c>
      <c r="U15" s="3">
        <f t="shared" si="1"/>
        <v>199.9999839906823</v>
      </c>
      <c r="V15" s="3">
        <f t="shared" si="1"/>
        <v>193.33331817636844</v>
      </c>
      <c r="W15" s="3">
        <f t="shared" si="1"/>
        <v>186.66665240501857</v>
      </c>
      <c r="X15" s="3">
        <f t="shared" si="1"/>
        <v>179.99998667409494</v>
      </c>
      <c r="Y15" s="3">
        <f t="shared" si="1"/>
        <v>173.33332098094502</v>
      </c>
      <c r="Z15" s="3">
        <f t="shared" si="1"/>
        <v>166.66665532280928</v>
      </c>
      <c r="AA15" s="3">
        <f t="shared" si="1"/>
        <v>159.99998969682895</v>
      </c>
      <c r="AB15" s="3">
        <f t="shared" si="1"/>
        <v>153.33332410005409</v>
      </c>
      <c r="AC15" s="3">
        <f t="shared" si="1"/>
        <v>146.66665852945192</v>
      </c>
      <c r="AD15" s="3">
        <f t="shared" si="1"/>
        <v>139.99999298191563</v>
      </c>
      <c r="AE15" s="3">
        <f t="shared" si="1"/>
        <v>133.33332745427279</v>
      </c>
      <c r="AF15" s="3">
        <f t="shared" si="1"/>
        <v>126.66666194329484</v>
      </c>
      <c r="AG15" s="3">
        <f t="shared" si="1"/>
        <v>119.99999644570579</v>
      </c>
      <c r="AH15" s="3">
        <f t="shared" si="1"/>
        <v>113.33333095819177</v>
      </c>
      <c r="AI15" s="3">
        <f t="shared" si="1"/>
        <v>106.66666547741035</v>
      </c>
      <c r="AJ15" s="3"/>
    </row>
    <row r="16" spans="1:36" ht="14.45" x14ac:dyDescent="0.3">
      <c r="E16" s="3" t="s">
        <v>12</v>
      </c>
      <c r="F16"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AJ17"/>
  <sheetViews>
    <sheetView zoomScale="60" zoomScaleNormal="60" workbookViewId="0">
      <selection activeCell="G13" sqref="G13:AI13"/>
    </sheetView>
  </sheetViews>
  <sheetFormatPr defaultRowHeight="15" x14ac:dyDescent="0.25"/>
  <cols>
    <col min="6" max="7" width="10.7109375" bestFit="1" customWidth="1"/>
  </cols>
  <sheetData>
    <row r="2" spans="1:36" ht="15.75" thickBot="1" x14ac:dyDescent="0.3"/>
    <row r="3" spans="1:36" ht="16.5" thickTop="1" thickBot="1" x14ac:dyDescent="0.3">
      <c r="B3" s="1" t="s">
        <v>0</v>
      </c>
      <c r="C3" s="5">
        <v>0.1</v>
      </c>
    </row>
    <row r="4" spans="1:36" ht="16.5" thickTop="1" thickBot="1" x14ac:dyDescent="0.3">
      <c r="B4" s="1" t="s">
        <v>1</v>
      </c>
      <c r="C4" s="2">
        <f>C3/30</f>
        <v>3.3333333333333335E-3</v>
      </c>
    </row>
    <row r="5" spans="1:36" ht="16.5" thickTop="1" thickBot="1" x14ac:dyDescent="0.3">
      <c r="B5" s="1" t="s">
        <v>2</v>
      </c>
      <c r="C5" s="2">
        <f>(C9*C8*C4^2)/(2*C10)</f>
        <v>0.4333333333333334</v>
      </c>
    </row>
    <row r="6" spans="1:36" ht="16.5" thickTop="1" thickBot="1" x14ac:dyDescent="0.3">
      <c r="B6" s="1" t="s">
        <v>3</v>
      </c>
      <c r="C6" s="6">
        <v>1000</v>
      </c>
      <c r="D6">
        <v>1000.1333333333334</v>
      </c>
    </row>
    <row r="7" spans="1:36" ht="16.5" thickTop="1" thickBot="1" x14ac:dyDescent="0.3">
      <c r="A7" s="9"/>
      <c r="B7" s="10"/>
      <c r="C7" s="10"/>
      <c r="D7" s="9"/>
    </row>
    <row r="8" spans="1:36" ht="16.5" thickTop="1" thickBot="1" x14ac:dyDescent="0.3">
      <c r="B8" s="1" t="s">
        <v>4</v>
      </c>
      <c r="C8" s="6">
        <v>460</v>
      </c>
    </row>
    <row r="9" spans="1:36" ht="16.5" thickTop="1" thickBot="1" x14ac:dyDescent="0.3">
      <c r="B9" s="1" t="s">
        <v>5</v>
      </c>
      <c r="C9" s="6">
        <v>7800</v>
      </c>
    </row>
    <row r="10" spans="1:36" ht="16.5" thickTop="1" thickBot="1" x14ac:dyDescent="0.3">
      <c r="B10" s="1" t="s">
        <v>6</v>
      </c>
      <c r="C10" s="6">
        <v>46</v>
      </c>
    </row>
    <row r="11" spans="1:36" ht="16.5" thickTop="1" thickBot="1" x14ac:dyDescent="0.3">
      <c r="A11" s="9"/>
      <c r="B11" s="10"/>
      <c r="C11" s="10"/>
      <c r="D11" s="9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6.5" thickTop="1" thickBot="1" x14ac:dyDescent="0.3">
      <c r="B12" s="1" t="s">
        <v>11</v>
      </c>
      <c r="C12" s="6">
        <v>92000</v>
      </c>
      <c r="E12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ht="16.5" thickTop="1" thickBot="1" x14ac:dyDescent="0.3">
      <c r="B13" s="1" t="s">
        <v>8</v>
      </c>
      <c r="C13" s="6">
        <v>100</v>
      </c>
      <c r="E13" t="s">
        <v>9</v>
      </c>
      <c r="F13" s="11">
        <f>G13+($C$15*($C$13-$C$16)*$C$4)/$C$10</f>
        <v>29.661999197871289</v>
      </c>
      <c r="G13" s="11">
        <v>29.296781806566941</v>
      </c>
      <c r="H13" s="11">
        <v>28.935233895675822</v>
      </c>
      <c r="I13" s="11">
        <v>28.57734500133509</v>
      </c>
      <c r="J13" s="11">
        <v>28.223094474061632</v>
      </c>
      <c r="K13" s="11">
        <v>27.872451042938547</v>
      </c>
      <c r="L13" s="11">
        <v>27.525373638766656</v>
      </c>
      <c r="M13" s="11">
        <v>27.181810544127231</v>
      </c>
      <c r="N13" s="11">
        <v>26.841700727225529</v>
      </c>
      <c r="O13" s="11">
        <v>26.504972620206598</v>
      </c>
      <c r="P13" s="11">
        <v>26.171545908345795</v>
      </c>
      <c r="Q13" s="11">
        <v>25.84132999772142</v>
      </c>
      <c r="R13" s="11">
        <v>25.514226185724361</v>
      </c>
      <c r="S13" s="11">
        <v>25.190125895089981</v>
      </c>
      <c r="T13" s="11">
        <v>24.868913136284426</v>
      </c>
      <c r="U13" s="11">
        <v>24.550462597229068</v>
      </c>
      <c r="V13" s="11">
        <v>24.23464229665047</v>
      </c>
      <c r="W13" s="11">
        <v>23.921311627016443</v>
      </c>
      <c r="X13" s="11">
        <v>23.610324090909334</v>
      </c>
      <c r="Y13" s="11">
        <v>23.301525398344417</v>
      </c>
      <c r="Z13" s="11">
        <v>22.994756175941333</v>
      </c>
      <c r="AA13" s="11">
        <v>22.689850218730903</v>
      </c>
      <c r="AB13" s="11">
        <v>22.386637064443796</v>
      </c>
      <c r="AC13" s="11">
        <v>22.084940494163121</v>
      </c>
      <c r="AD13" s="11">
        <v>21.784580871292931</v>
      </c>
      <c r="AE13" s="11">
        <v>21.485373975227027</v>
      </c>
      <c r="AF13" s="11">
        <v>21.187133016162292</v>
      </c>
      <c r="AG13" s="11">
        <v>20.889667871777267</v>
      </c>
      <c r="AH13" s="11">
        <v>20.592786704481462</v>
      </c>
      <c r="AI13" s="11">
        <v>20.296295653561259</v>
      </c>
      <c r="AJ13" s="4">
        <v>20</v>
      </c>
    </row>
    <row r="14" spans="1:36" ht="16.5" thickTop="1" thickBot="1" x14ac:dyDescent="0.3"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ht="16.5" thickTop="1" thickBot="1" x14ac:dyDescent="0.3">
      <c r="B15" s="13" t="s">
        <v>13</v>
      </c>
      <c r="C15" s="13">
        <v>63</v>
      </c>
      <c r="E15" t="s">
        <v>10</v>
      </c>
      <c r="F15" s="3"/>
      <c r="G15" s="3">
        <f>G13+(($C$10*$C$5)/($C$9*$C$8))*((H13-2*G13+F13)/($C$4^2))</f>
        <v>29.298616546773555</v>
      </c>
      <c r="H15" s="3">
        <f t="shared" ref="H15:AI15" si="1">H13+(($C$10*$C$5)/($C$9*$C$8))*((I13-2*H13+G13)/($C$4^2))</f>
        <v>28.937063403951015</v>
      </c>
      <c r="I15" s="3">
        <f t="shared" si="1"/>
        <v>28.579164184868727</v>
      </c>
      <c r="J15" s="3">
        <f t="shared" si="1"/>
        <v>28.22489802213682</v>
      </c>
      <c r="K15" s="3">
        <f t="shared" si="1"/>
        <v>27.874234056414146</v>
      </c>
      <c r="L15" s="3">
        <f t="shared" si="1"/>
        <v>27.527130793532891</v>
      </c>
      <c r="M15" s="3">
        <f t="shared" si="1"/>
        <v>27.183537182996091</v>
      </c>
      <c r="N15" s="3">
        <f t="shared" si="1"/>
        <v>26.843391582166916</v>
      </c>
      <c r="O15" s="3">
        <f t="shared" si="1"/>
        <v>26.50662331778566</v>
      </c>
      <c r="P15" s="3">
        <f t="shared" si="1"/>
        <v>26.173151308964009</v>
      </c>
      <c r="Q15" s="3">
        <f t="shared" si="1"/>
        <v>25.84288604703508</v>
      </c>
      <c r="R15" s="3">
        <f t="shared" si="1"/>
        <v>25.515727946405701</v>
      </c>
      <c r="S15" s="3">
        <f t="shared" si="1"/>
        <v>25.191569661004394</v>
      </c>
      <c r="T15" s="3">
        <f t="shared" si="1"/>
        <v>24.870294246159524</v>
      </c>
      <c r="U15" s="3">
        <f t="shared" si="1"/>
        <v>24.551777716467448</v>
      </c>
      <c r="V15" s="3">
        <f t="shared" si="1"/>
        <v>24.235887112122754</v>
      </c>
      <c r="W15" s="3">
        <f t="shared" si="1"/>
        <v>23.922483193779904</v>
      </c>
      <c r="X15" s="3">
        <f t="shared" si="1"/>
        <v>23.61141851268043</v>
      </c>
      <c r="Y15" s="3">
        <f t="shared" si="1"/>
        <v>23.302540133425332</v>
      </c>
      <c r="Z15" s="3">
        <f t="shared" si="1"/>
        <v>22.99568780853766</v>
      </c>
      <c r="AA15" s="3">
        <f t="shared" si="1"/>
        <v>22.690696620192565</v>
      </c>
      <c r="AB15" s="3">
        <f t="shared" si="1"/>
        <v>22.387395356447012</v>
      </c>
      <c r="AC15" s="3">
        <f t="shared" si="1"/>
        <v>22.085608967868364</v>
      </c>
      <c r="AD15" s="3">
        <f t="shared" si="1"/>
        <v>21.785157234695074</v>
      </c>
      <c r="AE15" s="3">
        <f t="shared" si="1"/>
        <v>21.485856943727612</v>
      </c>
      <c r="AF15" s="3">
        <f t="shared" si="1"/>
        <v>21.187520923502149</v>
      </c>
      <c r="AG15" s="3">
        <f t="shared" si="1"/>
        <v>20.889959860321877</v>
      </c>
      <c r="AH15" s="3">
        <f t="shared" si="1"/>
        <v>20.592981762669261</v>
      </c>
      <c r="AI15" s="3">
        <f t="shared" si="1"/>
        <v>20.296393352240731</v>
      </c>
      <c r="AJ15" s="3"/>
    </row>
    <row r="16" spans="1:36" ht="16.5" thickTop="1" thickBot="1" x14ac:dyDescent="0.3">
      <c r="B16" s="13" t="s">
        <v>14</v>
      </c>
      <c r="C16" s="13">
        <v>20</v>
      </c>
      <c r="E16" s="3" t="s">
        <v>12</v>
      </c>
      <c r="F16" s="14">
        <f>C13-C16</f>
        <v>80</v>
      </c>
      <c r="G16">
        <f>(F13-G13)*$C$10/($C$15*$C$4)</f>
        <v>80.000000000000114</v>
      </c>
      <c r="H16">
        <f t="shared" ref="H16:AI16" si="2">(G13-H13)*$C$10/($C$15*$C$4)</f>
        <v>79.196209052340308</v>
      </c>
      <c r="I16">
        <f t="shared" si="2"/>
        <v>78.394710188922261</v>
      </c>
      <c r="J16">
        <f t="shared" si="2"/>
        <v>77.597734545614443</v>
      </c>
      <c r="K16">
        <f t="shared" si="2"/>
        <v>76.807608722199674</v>
      </c>
      <c r="L16">
        <f t="shared" si="2"/>
        <v>76.026479009080916</v>
      </c>
      <c r="M16">
        <f t="shared" si="2"/>
        <v>75.256677873397805</v>
      </c>
      <c r="N16">
        <f t="shared" si="2"/>
        <v>74.500245607039446</v>
      </c>
      <c r="O16">
        <f t="shared" si="2"/>
        <v>73.759490108908778</v>
      </c>
      <c r="P16">
        <f t="shared" si="2"/>
        <v>73.036327359985307</v>
      </c>
      <c r="Q16">
        <f t="shared" si="2"/>
        <v>72.333008993910695</v>
      </c>
      <c r="R16">
        <f t="shared" si="2"/>
        <v>71.651311199355789</v>
      </c>
      <c r="S16">
        <f t="shared" si="2"/>
        <v>70.993396996102319</v>
      </c>
      <c r="T16">
        <f t="shared" si="2"/>
        <v>70.360890024073825</v>
      </c>
      <c r="U16">
        <f t="shared" si="2"/>
        <v>69.755832364507185</v>
      </c>
      <c r="V16">
        <f t="shared" si="2"/>
        <v>69.17968488864507</v>
      </c>
      <c r="W16">
        <f t="shared" si="2"/>
        <v>68.634337157929721</v>
      </c>
      <c r="X16">
        <f t="shared" si="2"/>
        <v>68.12107933774783</v>
      </c>
      <c r="Y16">
        <f t="shared" si="2"/>
        <v>67.641618371362739</v>
      </c>
      <c r="Z16">
        <f t="shared" si="2"/>
        <v>67.19706776448497</v>
      </c>
      <c r="AA16">
        <f t="shared" si="2"/>
        <v>66.788923960379847</v>
      </c>
      <c r="AB16">
        <f t="shared" si="2"/>
        <v>66.418119510509158</v>
      </c>
      <c r="AC16">
        <f t="shared" si="2"/>
        <v>66.085915394814677</v>
      </c>
      <c r="AD16">
        <f t="shared" si="2"/>
        <v>65.793060247755776</v>
      </c>
      <c r="AE16">
        <f t="shared" si="2"/>
        <v>65.540558185864683</v>
      </c>
      <c r="AF16">
        <f t="shared" si="2"/>
        <v>65.328971985608618</v>
      </c>
      <c r="AG16">
        <f t="shared" si="2"/>
        <v>65.159031627196072</v>
      </c>
      <c r="AH16">
        <f t="shared" si="2"/>
        <v>65.031112836223883</v>
      </c>
      <c r="AI16">
        <f t="shared" si="2"/>
        <v>64.945658772996794</v>
      </c>
    </row>
    <row r="17" ht="15.75" thickTop="1" x14ac:dyDescent="0.25"/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AJ21"/>
  <sheetViews>
    <sheetView tabSelected="1" zoomScale="60" zoomScaleNormal="60" workbookViewId="0">
      <selection activeCell="C6" sqref="C6"/>
    </sheetView>
  </sheetViews>
  <sheetFormatPr defaultRowHeight="15" x14ac:dyDescent="0.25"/>
  <cols>
    <col min="3" max="3" width="11.5703125" customWidth="1"/>
    <col min="6" max="6" width="10.7109375" bestFit="1" customWidth="1"/>
    <col min="7" max="7" width="13.85546875" customWidth="1"/>
    <col min="8" max="8" width="14.140625" customWidth="1"/>
    <col min="9" max="9" width="13.42578125" customWidth="1"/>
    <col min="10" max="10" width="15.140625" customWidth="1"/>
    <col min="11" max="11" width="12.7109375" customWidth="1"/>
    <col min="12" max="12" width="15.28515625" customWidth="1"/>
    <col min="13" max="13" width="16.28515625" customWidth="1"/>
    <col min="14" max="14" width="15.5703125" customWidth="1"/>
    <col min="15" max="15" width="12.7109375" customWidth="1"/>
    <col min="16" max="16" width="13.85546875" customWidth="1"/>
    <col min="17" max="17" width="12.42578125" customWidth="1"/>
    <col min="18" max="19" width="13.7109375" customWidth="1"/>
    <col min="20" max="20" width="13.42578125" customWidth="1"/>
    <col min="21" max="22" width="14.5703125" customWidth="1"/>
    <col min="23" max="23" width="13.7109375" customWidth="1"/>
    <col min="24" max="24" width="15.28515625" customWidth="1"/>
    <col min="25" max="25" width="15.42578125" customWidth="1"/>
    <col min="26" max="26" width="15.140625" customWidth="1"/>
    <col min="27" max="27" width="13.85546875" customWidth="1"/>
    <col min="28" max="28" width="15.140625" customWidth="1"/>
  </cols>
  <sheetData>
    <row r="2" spans="1:36" ht="15.75" thickBot="1" x14ac:dyDescent="0.3"/>
    <row r="3" spans="1:36" ht="16.5" thickTop="1" thickBot="1" x14ac:dyDescent="0.3">
      <c r="B3" s="1" t="s">
        <v>0</v>
      </c>
      <c r="C3" s="5">
        <v>0.1</v>
      </c>
    </row>
    <row r="4" spans="1:36" ht="16.5" thickTop="1" thickBot="1" x14ac:dyDescent="0.3">
      <c r="B4" s="1" t="s">
        <v>1</v>
      </c>
      <c r="C4" s="2">
        <f>C3/30</f>
        <v>3.3333333333333335E-3</v>
      </c>
    </row>
    <row r="5" spans="1:36" ht="16.5" thickTop="1" thickBot="1" x14ac:dyDescent="0.3">
      <c r="B5" s="1" t="s">
        <v>2</v>
      </c>
      <c r="C5" s="2">
        <f>1</f>
        <v>1</v>
      </c>
    </row>
    <row r="6" spans="1:36" ht="16.5" thickTop="1" thickBot="1" x14ac:dyDescent="0.3">
      <c r="B6" s="1" t="s">
        <v>3</v>
      </c>
      <c r="C6" s="6">
        <v>500</v>
      </c>
      <c r="D6">
        <v>501</v>
      </c>
    </row>
    <row r="7" spans="1:36" ht="16.5" thickTop="1" thickBot="1" x14ac:dyDescent="0.3">
      <c r="A7" s="9"/>
      <c r="B7" s="10"/>
      <c r="C7" s="10"/>
      <c r="D7" s="9"/>
    </row>
    <row r="8" spans="1:36" ht="16.5" thickTop="1" thickBot="1" x14ac:dyDescent="0.3">
      <c r="B8" s="1" t="s">
        <v>4</v>
      </c>
      <c r="C8" s="6">
        <v>460</v>
      </c>
    </row>
    <row r="9" spans="1:36" ht="16.5" thickTop="1" thickBot="1" x14ac:dyDescent="0.3">
      <c r="B9" s="1" t="s">
        <v>5</v>
      </c>
      <c r="C9" s="6">
        <v>7800</v>
      </c>
    </row>
    <row r="10" spans="1:36" ht="16.5" thickTop="1" thickBot="1" x14ac:dyDescent="0.3">
      <c r="B10" s="1" t="s">
        <v>6</v>
      </c>
      <c r="C10" s="6">
        <v>46</v>
      </c>
    </row>
    <row r="11" spans="1:36" ht="16.5" thickTop="1" thickBot="1" x14ac:dyDescent="0.3">
      <c r="A11" s="9"/>
      <c r="B11" s="10"/>
      <c r="C11" s="10"/>
      <c r="D11" s="9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6.5" thickTop="1" thickBot="1" x14ac:dyDescent="0.3">
      <c r="B12" s="1" t="s">
        <v>11</v>
      </c>
      <c r="C12" s="6">
        <v>9200</v>
      </c>
      <c r="E12" t="s">
        <v>0</v>
      </c>
      <c r="F12" s="8">
        <v>0</v>
      </c>
      <c r="G12" s="8">
        <f>F12+$C$4</f>
        <v>3.3333333333333335E-3</v>
      </c>
      <c r="H12" s="8">
        <f>G12+$C$4</f>
        <v>6.6666666666666671E-3</v>
      </c>
      <c r="I12" s="8">
        <f t="shared" ref="H12:AJ12" si="0">H12+$C$4</f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ht="16.5" thickTop="1" thickBot="1" x14ac:dyDescent="0.3">
      <c r="B13" s="1" t="s">
        <v>8</v>
      </c>
      <c r="C13" s="6">
        <v>100</v>
      </c>
      <c r="E13" t="s">
        <v>9</v>
      </c>
      <c r="F13" s="11">
        <f>C14</f>
        <v>300</v>
      </c>
      <c r="G13" s="11">
        <v>125.98510031199007</v>
      </c>
      <c r="H13" s="11">
        <v>48.029799376019895</v>
      </c>
      <c r="I13" s="11">
        <v>18.59001827905394</v>
      </c>
      <c r="J13" s="11">
        <v>7.2128994012468883</v>
      </c>
      <c r="K13" s="11">
        <v>2.7997196416876764</v>
      </c>
      <c r="L13" s="11">
        <v>1.0867960305041822</v>
      </c>
      <c r="M13" s="11">
        <v>0.42187744356895224</v>
      </c>
      <c r="N13" s="11">
        <v>0.16376660834132173</v>
      </c>
      <c r="O13" s="11">
        <v>6.3571803719579822E-2</v>
      </c>
      <c r="P13" s="11">
        <v>2.4677646249006716E-2</v>
      </c>
      <c r="Q13" s="11">
        <v>9.579502133585955E-3</v>
      </c>
      <c r="R13" s="11">
        <v>3.7186229320738942E-3</v>
      </c>
      <c r="S13" s="11">
        <v>1.4435151557533846E-3</v>
      </c>
      <c r="T13" s="11">
        <v>5.603515176936404E-4</v>
      </c>
      <c r="U13" s="11">
        <v>2.1752028464263123E-4</v>
      </c>
      <c r="V13" s="11">
        <v>8.4438176269057422E-5</v>
      </c>
      <c r="W13" s="11">
        <v>3.2777874215581397E-5</v>
      </c>
      <c r="X13" s="11">
        <v>1.2722111431858111E-5</v>
      </c>
      <c r="Y13" s="11">
        <v>4.9539055694919282E-6</v>
      </c>
      <c r="Z13" s="11">
        <v>1.7904334329612879E-6</v>
      </c>
      <c r="AA13" s="11">
        <v>1.8391745589065234E-6</v>
      </c>
      <c r="AB13" s="11">
        <v>-9.1584970507431204E-6</v>
      </c>
      <c r="AC13" s="11">
        <v>8.1630008433065704E-5</v>
      </c>
      <c r="AD13" s="11">
        <v>-7.0334049029115381E-4</v>
      </c>
      <c r="AE13" s="11">
        <v>6.0692282442399298E-3</v>
      </c>
      <c r="AF13" s="11">
        <v>-5.2368720820943904E-2</v>
      </c>
      <c r="AG13" s="11">
        <v>0.45186820289118668</v>
      </c>
      <c r="AH13" s="11">
        <v>-3.8989847689813057</v>
      </c>
      <c r="AI13" s="11">
        <v>33.642735260059268</v>
      </c>
      <c r="AJ13" s="4">
        <f>C13</f>
        <v>100</v>
      </c>
    </row>
    <row r="14" spans="1:36" ht="16.5" thickTop="1" thickBot="1" x14ac:dyDescent="0.3">
      <c r="B14" s="13" t="s">
        <v>7</v>
      </c>
      <c r="C14" s="13">
        <v>300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ht="16.5" thickTop="1" thickBot="1" x14ac:dyDescent="0.3">
      <c r="B15" s="9"/>
      <c r="C15" s="15"/>
      <c r="E15" t="s">
        <v>10</v>
      </c>
      <c r="F15" s="3"/>
      <c r="G15" s="3">
        <f>(H15*G19)+G20</f>
        <v>125.98510031199007</v>
      </c>
      <c r="H15" s="3">
        <f t="shared" ref="H15:AI15" si="1">(I15*H19)+H20</f>
        <v>48.029799376019895</v>
      </c>
      <c r="I15" s="3">
        <f t="shared" si="1"/>
        <v>18.59001827905394</v>
      </c>
      <c r="J15" s="3">
        <f t="shared" si="1"/>
        <v>7.2128994012468883</v>
      </c>
      <c r="K15" s="3">
        <f t="shared" si="1"/>
        <v>2.7997196416876764</v>
      </c>
      <c r="L15" s="3">
        <f t="shared" si="1"/>
        <v>1.0867960305041822</v>
      </c>
      <c r="M15" s="3">
        <f t="shared" si="1"/>
        <v>0.42187744356895224</v>
      </c>
      <c r="N15" s="3">
        <f t="shared" si="1"/>
        <v>0.16376660834132173</v>
      </c>
      <c r="O15" s="3">
        <f t="shared" si="1"/>
        <v>6.3571803719579822E-2</v>
      </c>
      <c r="P15" s="3">
        <f t="shared" si="1"/>
        <v>2.4677646249006716E-2</v>
      </c>
      <c r="Q15" s="3">
        <f t="shared" si="1"/>
        <v>9.579502133585955E-3</v>
      </c>
      <c r="R15" s="3">
        <f t="shared" si="1"/>
        <v>3.7186229320738942E-3</v>
      </c>
      <c r="S15" s="3">
        <f t="shared" si="1"/>
        <v>1.4435151557533846E-3</v>
      </c>
      <c r="T15" s="3">
        <f t="shared" si="1"/>
        <v>5.603515176936404E-4</v>
      </c>
      <c r="U15" s="3">
        <f t="shared" si="1"/>
        <v>2.1752028464263123E-4</v>
      </c>
      <c r="V15" s="3">
        <f t="shared" si="1"/>
        <v>8.4438176269057422E-5</v>
      </c>
      <c r="W15" s="3">
        <f t="shared" si="1"/>
        <v>3.2777874215581397E-5</v>
      </c>
      <c r="X15" s="3">
        <f t="shared" si="1"/>
        <v>1.2722111431858111E-5</v>
      </c>
      <c r="Y15" s="3">
        <f t="shared" si="1"/>
        <v>4.9539055694919282E-6</v>
      </c>
      <c r="Z15" s="3">
        <f t="shared" si="1"/>
        <v>1.7904334329612879E-6</v>
      </c>
      <c r="AA15" s="3">
        <f t="shared" si="1"/>
        <v>1.8391745589065234E-6</v>
      </c>
      <c r="AB15" s="3">
        <f t="shared" si="1"/>
        <v>-9.1584970507431204E-6</v>
      </c>
      <c r="AC15" s="3">
        <f t="shared" si="1"/>
        <v>8.1630008433065704E-5</v>
      </c>
      <c r="AD15" s="3">
        <f t="shared" si="1"/>
        <v>-7.0334049029115381E-4</v>
      </c>
      <c r="AE15" s="3">
        <f t="shared" si="1"/>
        <v>6.0692282442399298E-3</v>
      </c>
      <c r="AF15" s="3">
        <f t="shared" si="1"/>
        <v>-5.2368720820943904E-2</v>
      </c>
      <c r="AG15" s="3">
        <f t="shared" si="1"/>
        <v>0.45186820289118668</v>
      </c>
      <c r="AH15" s="3">
        <f t="shared" si="1"/>
        <v>-3.8989847689813057</v>
      </c>
      <c r="AI15" s="3">
        <f t="shared" si="1"/>
        <v>33.642735260059268</v>
      </c>
      <c r="AJ15" s="3"/>
    </row>
    <row r="16" spans="1:36" ht="16.5" thickTop="1" thickBot="1" x14ac:dyDescent="0.3">
      <c r="B16" s="13" t="s">
        <v>13</v>
      </c>
      <c r="C16" s="13"/>
      <c r="E16" s="3" t="s">
        <v>12</v>
      </c>
      <c r="F16" s="14">
        <v>9200</v>
      </c>
      <c r="G16">
        <f>-$C$10*(G13-F13)/$C$4</f>
        <v>2401405.6156945368</v>
      </c>
      <c r="H16">
        <f t="shared" ref="H16:AI16" si="2">-$C$10*(H13-G13)/$C$4</f>
        <v>1075783.1529163884</v>
      </c>
      <c r="I16">
        <f t="shared" si="2"/>
        <v>406268.97913813015</v>
      </c>
      <c r="J16">
        <f t="shared" si="2"/>
        <v>157004.24051373731</v>
      </c>
      <c r="K16">
        <f t="shared" si="2"/>
        <v>60901.880681917115</v>
      </c>
      <c r="L16">
        <f t="shared" si="2"/>
        <v>23638.345834332216</v>
      </c>
      <c r="M16">
        <f t="shared" si="2"/>
        <v>9175.8764997061717</v>
      </c>
      <c r="N16">
        <f t="shared" si="2"/>
        <v>3561.9295261413004</v>
      </c>
      <c r="O16">
        <f t="shared" si="2"/>
        <v>1382.6883037800383</v>
      </c>
      <c r="P16">
        <f t="shared" si="2"/>
        <v>536.73937309390885</v>
      </c>
      <c r="Q16">
        <f t="shared" si="2"/>
        <v>208.3543887928065</v>
      </c>
      <c r="R16">
        <f t="shared" si="2"/>
        <v>80.880132980866435</v>
      </c>
      <c r="S16">
        <f t="shared" si="2"/>
        <v>31.396487313223034</v>
      </c>
      <c r="T16">
        <f t="shared" si="2"/>
        <v>12.187658205224468</v>
      </c>
      <c r="U16">
        <f t="shared" si="2"/>
        <v>4.7310710161039262</v>
      </c>
      <c r="V16">
        <f t="shared" si="2"/>
        <v>1.8365330955553185</v>
      </c>
      <c r="W16">
        <f t="shared" si="2"/>
        <v>0.712912168337969</v>
      </c>
      <c r="X16">
        <f t="shared" si="2"/>
        <v>0.27676952641538133</v>
      </c>
      <c r="Y16">
        <f t="shared" si="2"/>
        <v>0.10720124090065333</v>
      </c>
      <c r="Z16">
        <f t="shared" si="2"/>
        <v>4.3655915484122829E-2</v>
      </c>
      <c r="AA16">
        <f t="shared" si="2"/>
        <v>-6.7262753804424931E-4</v>
      </c>
      <c r="AB16">
        <f t="shared" si="2"/>
        <v>0.15176786821316507</v>
      </c>
      <c r="AC16">
        <f t="shared" si="2"/>
        <v>-1.2528813756765618</v>
      </c>
      <c r="AD16">
        <f t="shared" si="2"/>
        <v>10.832592882394229</v>
      </c>
      <c r="AE16">
        <f t="shared" si="2"/>
        <v>-93.461448536528934</v>
      </c>
      <c r="AF16">
        <f t="shared" si="2"/>
        <v>806.44369709953696</v>
      </c>
      <c r="AG16">
        <f t="shared" si="2"/>
        <v>-6958.4695472274016</v>
      </c>
      <c r="AH16">
        <f t="shared" si="2"/>
        <v>60041.771011840392</v>
      </c>
      <c r="AI16">
        <f t="shared" si="2"/>
        <v>-518075.7364007599</v>
      </c>
    </row>
    <row r="17" spans="2:36" ht="16.5" thickTop="1" thickBot="1" x14ac:dyDescent="0.3">
      <c r="B17" s="13" t="s">
        <v>14</v>
      </c>
      <c r="C17" s="12"/>
    </row>
    <row r="18" spans="2:36" ht="16.5" thickTop="1" thickBot="1" x14ac:dyDescent="0.3">
      <c r="B18" s="13" t="s">
        <v>15</v>
      </c>
      <c r="C18" s="12">
        <f>C10/C4^2</f>
        <v>4139999.9999999991</v>
      </c>
      <c r="E18" t="s">
        <v>18</v>
      </c>
      <c r="G18">
        <f>-$C$9*$C$8/$C$5*G13</f>
        <v>-452034539.91942036</v>
      </c>
      <c r="H18">
        <f>-$C$9*$C$8/$C$5*I13</f>
        <v>-66700985.585245535</v>
      </c>
      <c r="I18">
        <f t="shared" ref="I18:AJ18" si="3">-$C$9*$C$8/$C$5*J13</f>
        <v>-25879883.051673837</v>
      </c>
      <c r="J18">
        <f t="shared" si="3"/>
        <v>-10045394.074375384</v>
      </c>
      <c r="K18">
        <f t="shared" si="3"/>
        <v>-3899424.1574490056</v>
      </c>
      <c r="L18">
        <f t="shared" si="3"/>
        <v>-1513696.2675254007</v>
      </c>
      <c r="M18">
        <f t="shared" si="3"/>
        <v>-587594.59072866233</v>
      </c>
      <c r="N18">
        <f t="shared" si="3"/>
        <v>-228095.63174585241</v>
      </c>
      <c r="O18">
        <f t="shared" si="3"/>
        <v>-88543.394741436088</v>
      </c>
      <c r="P18">
        <f t="shared" si="3"/>
        <v>-34371.253655306406</v>
      </c>
      <c r="Q18">
        <f t="shared" si="3"/>
        <v>-13342.419080281132</v>
      </c>
      <c r="R18">
        <f t="shared" si="3"/>
        <v>-5179.3323788431444</v>
      </c>
      <c r="S18">
        <f t="shared" si="3"/>
        <v>-2010.5412454847817</v>
      </c>
      <c r="T18">
        <f t="shared" si="3"/>
        <v>-780.4627812977609</v>
      </c>
      <c r="U18">
        <f t="shared" si="3"/>
        <v>-302.96417645337806</v>
      </c>
      <c r="V18">
        <f t="shared" si="3"/>
        <v>-117.60701268550605</v>
      </c>
      <c r="W18">
        <f t="shared" si="3"/>
        <v>-45.646935817506908</v>
      </c>
      <c r="X18">
        <f t="shared" si="3"/>
        <v>-17.774613183337038</v>
      </c>
      <c r="Y18">
        <f t="shared" si="3"/>
        <v>-6.4240751574651007</v>
      </c>
      <c r="Z18">
        <f t="shared" si="3"/>
        <v>-6.5989583173566055</v>
      </c>
      <c r="AA18">
        <f t="shared" si="3"/>
        <v>32.860687418066313</v>
      </c>
      <c r="AB18">
        <f t="shared" si="3"/>
        <v>-292.88847025783974</v>
      </c>
      <c r="AC18">
        <f t="shared" si="3"/>
        <v>2523.5856791646597</v>
      </c>
      <c r="AD18">
        <f t="shared" si="3"/>
        <v>-21776.390940332869</v>
      </c>
      <c r="AE18">
        <f t="shared" si="3"/>
        <v>187898.97030554674</v>
      </c>
      <c r="AF18">
        <f t="shared" si="3"/>
        <v>-1621303.1119735779</v>
      </c>
      <c r="AG18">
        <f t="shared" si="3"/>
        <v>13989557.351104924</v>
      </c>
      <c r="AH18">
        <f t="shared" si="3"/>
        <v>-120710134.11309266</v>
      </c>
      <c r="AI18">
        <f t="shared" si="3"/>
        <v>-358800000</v>
      </c>
      <c r="AJ18">
        <f t="shared" si="3"/>
        <v>0</v>
      </c>
    </row>
    <row r="19" spans="2:36" ht="16.5" thickTop="1" thickBot="1" x14ac:dyDescent="0.3">
      <c r="B19" s="13" t="s">
        <v>16</v>
      </c>
      <c r="C19" s="12">
        <f>(2*C10)/(C4^2)+(C9*C8)/C5</f>
        <v>11867999.999999998</v>
      </c>
      <c r="E19" t="s">
        <v>13</v>
      </c>
      <c r="F19">
        <v>0</v>
      </c>
      <c r="G19">
        <f>-$C$18/($C$19+$C$20*F19)</f>
        <v>-0.34883720930232553</v>
      </c>
      <c r="H19">
        <f t="shared" ref="H19:AI19" si="4">-$C$18/($C$19+$C$20*G19)</f>
        <v>-0.39716748768472904</v>
      </c>
      <c r="I19">
        <f t="shared" si="4"/>
        <v>-0.40494040593779607</v>
      </c>
      <c r="J19">
        <f t="shared" si="4"/>
        <v>-0.4062190081621499</v>
      </c>
      <c r="K19">
        <f t="shared" si="4"/>
        <v>-0.40643010492156101</v>
      </c>
      <c r="L19">
        <f t="shared" si="4"/>
        <v>-0.40646497802255066</v>
      </c>
      <c r="M19">
        <f t="shared" si="4"/>
        <v>-0.40647073962099717</v>
      </c>
      <c r="N19">
        <f t="shared" si="4"/>
        <v>-0.40647169154566137</v>
      </c>
      <c r="O19">
        <f t="shared" si="4"/>
        <v>-0.40647184882198806</v>
      </c>
      <c r="P19">
        <f t="shared" si="4"/>
        <v>-0.40647187480708435</v>
      </c>
      <c r="Q19">
        <f t="shared" si="4"/>
        <v>-0.40647187910032606</v>
      </c>
      <c r="R19">
        <f t="shared" si="4"/>
        <v>-0.40647187980965277</v>
      </c>
      <c r="S19">
        <f t="shared" si="4"/>
        <v>-0.4064718799268473</v>
      </c>
      <c r="T19">
        <f t="shared" si="4"/>
        <v>-0.40647187994621015</v>
      </c>
      <c r="U19">
        <f t="shared" si="4"/>
        <v>-0.40647187994940925</v>
      </c>
      <c r="V19">
        <f t="shared" si="4"/>
        <v>-0.40647187994993778</v>
      </c>
      <c r="W19">
        <f t="shared" si="4"/>
        <v>-0.40647187995002515</v>
      </c>
      <c r="X19">
        <f t="shared" si="4"/>
        <v>-0.40647187995003953</v>
      </c>
      <c r="Y19">
        <f t="shared" si="4"/>
        <v>-0.40647187995004191</v>
      </c>
      <c r="Z19">
        <f t="shared" si="4"/>
        <v>-0.40647187995004236</v>
      </c>
      <c r="AA19">
        <f t="shared" si="4"/>
        <v>-0.40647187995004236</v>
      </c>
      <c r="AB19">
        <f t="shared" si="4"/>
        <v>-0.40647187995004236</v>
      </c>
      <c r="AC19">
        <f t="shared" si="4"/>
        <v>-0.40647187995004236</v>
      </c>
      <c r="AD19">
        <f t="shared" si="4"/>
        <v>-0.40647187995004236</v>
      </c>
      <c r="AE19">
        <f t="shared" si="4"/>
        <v>-0.40647187995004236</v>
      </c>
      <c r="AF19">
        <f t="shared" si="4"/>
        <v>-0.40647187995004236</v>
      </c>
      <c r="AG19">
        <f t="shared" si="4"/>
        <v>-0.40647187995004236</v>
      </c>
      <c r="AH19">
        <f t="shared" si="4"/>
        <v>-0.40647187995004236</v>
      </c>
      <c r="AI19">
        <f t="shared" si="4"/>
        <v>-0.40647187995004236</v>
      </c>
    </row>
    <row r="20" spans="2:36" ht="16.5" thickTop="1" thickBot="1" x14ac:dyDescent="0.3">
      <c r="B20" s="13" t="s">
        <v>17</v>
      </c>
      <c r="C20" s="12">
        <f>C18</f>
        <v>4139999.9999999991</v>
      </c>
      <c r="E20" t="s">
        <v>19</v>
      </c>
      <c r="F20">
        <v>300</v>
      </c>
      <c r="G20">
        <f>(F20*$C$20-G18)/($C$19-$F$19*$C$20)</f>
        <v>142.73968148967143</v>
      </c>
      <c r="H20">
        <f t="shared" ref="H20:AI20" si="5">(G20*$C$20-H18)/($C$19-$F$19*$C$20)</f>
        <v>55.413150231924938</v>
      </c>
      <c r="I20">
        <f t="shared" si="5"/>
        <v>21.510812690583339</v>
      </c>
      <c r="J20">
        <f t="shared" si="5"/>
        <v>8.3501987372253463</v>
      </c>
      <c r="K20">
        <f t="shared" si="5"/>
        <v>3.2414262663938271</v>
      </c>
      <c r="L20">
        <f t="shared" si="5"/>
        <v>1.2582744363326461</v>
      </c>
      <c r="M20">
        <f t="shared" si="5"/>
        <v>0.48844377798667143</v>
      </c>
      <c r="N20">
        <f t="shared" si="5"/>
        <v>0.18960674693382812</v>
      </c>
      <c r="O20">
        <f t="shared" si="5"/>
        <v>7.3602572214988587E-2</v>
      </c>
      <c r="P20">
        <f t="shared" si="5"/>
        <v>2.8571444440963864E-2</v>
      </c>
      <c r="Q20">
        <f t="shared" si="5"/>
        <v>1.1091017784451596E-2</v>
      </c>
      <c r="R20">
        <f t="shared" si="5"/>
        <v>4.3053712509666959E-3</v>
      </c>
      <c r="S20">
        <f t="shared" si="5"/>
        <v>1.6712822905701806E-3</v>
      </c>
      <c r="T20">
        <f t="shared" si="5"/>
        <v>6.4876739671876544E-4</v>
      </c>
      <c r="U20">
        <f t="shared" si="5"/>
        <v>2.5184202889021461E-4</v>
      </c>
      <c r="V20">
        <f t="shared" si="5"/>
        <v>9.7761460422227377E-5</v>
      </c>
      <c r="W20">
        <f t="shared" si="5"/>
        <v>3.7949054766222467E-5</v>
      </c>
      <c r="X20">
        <f t="shared" si="5"/>
        <v>1.4735734741784467E-5</v>
      </c>
      <c r="Y20">
        <f t="shared" si="5"/>
        <v>5.6816664129131099E-6</v>
      </c>
      <c r="Z20">
        <f t="shared" si="5"/>
        <v>2.5380061734763124E-6</v>
      </c>
      <c r="AA20">
        <f t="shared" si="5"/>
        <v>-1.8834969548259512E-6</v>
      </c>
      <c r="AB20">
        <f t="shared" si="5"/>
        <v>2.4021805937382907E-5</v>
      </c>
      <c r="AC20">
        <f t="shared" si="5"/>
        <v>-2.0425812290056412E-4</v>
      </c>
      <c r="AD20">
        <f t="shared" si="5"/>
        <v>1.7636301239909451E-3</v>
      </c>
      <c r="AE20">
        <f t="shared" si="5"/>
        <v>-1.5217184158428064E-2</v>
      </c>
      <c r="AF20">
        <f t="shared" si="5"/>
        <v>0.1313029970978839</v>
      </c>
      <c r="AG20">
        <f t="shared" si="5"/>
        <v>-1.1329594660532263</v>
      </c>
      <c r="AH20">
        <f t="shared" si="5"/>
        <v>9.7758410788365619</v>
      </c>
      <c r="AI20">
        <f t="shared" si="5"/>
        <v>33.642735260059268</v>
      </c>
    </row>
    <row r="21" spans="2:36" ht="15.75" thickTop="1" x14ac:dyDescent="0.25"/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den</cp:lastModifiedBy>
  <dcterms:created xsi:type="dcterms:W3CDTF">2021-03-10T15:24:21Z</dcterms:created>
  <dcterms:modified xsi:type="dcterms:W3CDTF">2021-04-04T08:59:35Z</dcterms:modified>
</cp:coreProperties>
</file>