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енис\Desktop\"/>
    </mc:Choice>
  </mc:AlternateContent>
  <xr:revisionPtr revIDLastSave="0" documentId="13_ncr:1_{0C92BC3C-BF71-4E8D-B995-0BB63F321243}" xr6:coauthVersionLast="46" xr6:coauthVersionMax="46" xr10:uidLastSave="{00000000-0000-0000-0000-000000000000}"/>
  <bookViews>
    <workbookView xWindow="-108" yWindow="-108" windowWidth="22140" windowHeight="13176" activeTab="1" xr2:uid="{148BE44C-D237-4057-A002-96EC6B01863B}"/>
  </bookViews>
  <sheets>
    <sheet name="Лист1" sheetId="1" r:id="rId1"/>
    <sheet name="Лист2" sheetId="8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8" l="1"/>
  <c r="AI16" i="8" l="1"/>
  <c r="AH16" i="8"/>
  <c r="AE16" i="8"/>
  <c r="AD16" i="8"/>
  <c r="AA16" i="8"/>
  <c r="Z16" i="8"/>
  <c r="W16" i="8"/>
  <c r="V16" i="8"/>
  <c r="S16" i="8"/>
  <c r="R16" i="8"/>
  <c r="O16" i="8"/>
  <c r="N16" i="8"/>
  <c r="K16" i="8"/>
  <c r="J16" i="8"/>
  <c r="AJ13" i="8"/>
  <c r="G12" i="8"/>
  <c r="H12" i="8" s="1"/>
  <c r="I12" i="8" s="1"/>
  <c r="J12" i="8" s="1"/>
  <c r="K12" i="8" s="1"/>
  <c r="L12" i="8" s="1"/>
  <c r="M12" i="8" s="1"/>
  <c r="N12" i="8" s="1"/>
  <c r="O12" i="8" s="1"/>
  <c r="P12" i="8" s="1"/>
  <c r="Q12" i="8" s="1"/>
  <c r="R12" i="8" s="1"/>
  <c r="S12" i="8" s="1"/>
  <c r="T12" i="8" s="1"/>
  <c r="U12" i="8" s="1"/>
  <c r="V12" i="8" s="1"/>
  <c r="W12" i="8" s="1"/>
  <c r="X12" i="8" s="1"/>
  <c r="Y12" i="8" s="1"/>
  <c r="Z12" i="8" s="1"/>
  <c r="AA12" i="8" s="1"/>
  <c r="AB12" i="8" s="1"/>
  <c r="AC12" i="8" s="1"/>
  <c r="AD12" i="8" s="1"/>
  <c r="AE12" i="8" s="1"/>
  <c r="AF12" i="8" s="1"/>
  <c r="AG12" i="8" s="1"/>
  <c r="AH12" i="8" s="1"/>
  <c r="AI12" i="8" s="1"/>
  <c r="AJ12" i="8" s="1"/>
  <c r="C4" i="8"/>
  <c r="AG16" i="8" s="1"/>
  <c r="G16" i="8" l="1"/>
  <c r="H16" i="8"/>
  <c r="L16" i="8"/>
  <c r="P16" i="8"/>
  <c r="T16" i="8"/>
  <c r="X16" i="8"/>
  <c r="AB16" i="8"/>
  <c r="AF16" i="8"/>
  <c r="C5" i="8"/>
  <c r="I16" i="8"/>
  <c r="M16" i="8"/>
  <c r="Q16" i="8"/>
  <c r="U16" i="8"/>
  <c r="Y16" i="8"/>
  <c r="AC16" i="8"/>
  <c r="AH15" i="8" l="1"/>
  <c r="AD15" i="8"/>
  <c r="Z15" i="8"/>
  <c r="V15" i="8"/>
  <c r="R15" i="8"/>
  <c r="N15" i="8"/>
  <c r="J15" i="8"/>
  <c r="AG15" i="8"/>
  <c r="AC15" i="8"/>
  <c r="Y15" i="8"/>
  <c r="U15" i="8"/>
  <c r="Q15" i="8"/>
  <c r="M15" i="8"/>
  <c r="I15" i="8"/>
  <c r="AF15" i="8"/>
  <c r="AB15" i="8"/>
  <c r="X15" i="8"/>
  <c r="T15" i="8"/>
  <c r="P15" i="8"/>
  <c r="L15" i="8"/>
  <c r="H15" i="8"/>
  <c r="AI15" i="8"/>
  <c r="AE15" i="8"/>
  <c r="AA15" i="8"/>
  <c r="W15" i="8"/>
  <c r="S15" i="8"/>
  <c r="O15" i="8"/>
  <c r="K15" i="8"/>
  <c r="G15" i="8"/>
  <c r="AJ13" i="1" l="1"/>
  <c r="AI15" i="1" s="1"/>
  <c r="H15" i="1"/>
  <c r="I15" i="1"/>
  <c r="K15" i="1"/>
  <c r="M15" i="1"/>
  <c r="O15" i="1"/>
  <c r="Q15" i="1"/>
  <c r="S15" i="1"/>
  <c r="U15" i="1"/>
  <c r="W15" i="1"/>
  <c r="Y15" i="1"/>
  <c r="AA15" i="1"/>
  <c r="AC15" i="1"/>
  <c r="AE15" i="1"/>
  <c r="AG15" i="1"/>
  <c r="F13" i="1"/>
  <c r="J15" i="1"/>
  <c r="L15" i="1"/>
  <c r="N15" i="1"/>
  <c r="P15" i="1"/>
  <c r="R15" i="1"/>
  <c r="T15" i="1"/>
  <c r="V15" i="1"/>
  <c r="X15" i="1"/>
  <c r="Z15" i="1"/>
  <c r="AB15" i="1"/>
  <c r="AD15" i="1"/>
  <c r="AF15" i="1"/>
  <c r="AH15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C5" i="1"/>
  <c r="G15" i="1" l="1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<sst xmlns="http://schemas.openxmlformats.org/spreadsheetml/2006/main" count="25" uniqueCount="13">
  <si>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</si>
  <si>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</si>
  <si>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</si>
  <si>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</si>
  <si>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</si>
  <si>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</si>
  <si>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</si>
  <si>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T_start</t>
  </si>
  <si>
    <t>T_end</t>
  </si>
  <si>
    <t>T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</si>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</sst>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 formatCode="0">
                  <c:v>300</c:v>
                </c:pt>
                <c:pt idx="1">
                  <c:v>293.28675798022084</c:v>
                </c:pt>
                <c:pt idx="2">
                  <c:v>286.57351596044163</c:v>
                </c:pt>
                <c:pt idx="3">
                  <c:v>279.86230950710069</c:v>
                </c:pt>
                <c:pt idx="4">
                  <c:v>273.15110305375981</c:v>
                </c:pt>
                <c:pt idx="5">
                  <c:v>266.44387876927192</c:v>
                </c:pt>
                <c:pt idx="6">
                  <c:v>259.73665448478408</c:v>
                </c:pt>
                <c:pt idx="7">
                  <c:v>253.03518493167226</c:v>
                </c:pt>
                <c:pt idx="8">
                  <c:v>246.33371537856041</c:v>
                </c:pt>
                <c:pt idx="9">
                  <c:v>239.63952160996649</c:v>
                </c:pt>
                <c:pt idx="10">
                  <c:v>232.9453278413726</c:v>
                </c:pt>
                <c:pt idx="11">
                  <c:v>226.25961292373614</c:v>
                </c:pt>
                <c:pt idx="12">
                  <c:v>219.57389800609968</c:v>
                </c:pt>
                <c:pt idx="13">
                  <c:v>212.89749443938217</c:v>
                </c:pt>
                <c:pt idx="14">
                  <c:v>206.22109087266466</c:v>
                </c:pt>
                <c:pt idx="15">
                  <c:v>199.55442420610814</c:v>
                </c:pt>
                <c:pt idx="16">
                  <c:v>192.88775753955161</c:v>
                </c:pt>
                <c:pt idx="17">
                  <c:v>186.23082777313707</c:v>
                </c:pt>
                <c:pt idx="18">
                  <c:v>179.57389800672252</c:v>
                </c:pt>
                <c:pt idx="19">
                  <c:v>172.92627959117306</c:v>
                </c:pt>
                <c:pt idx="20">
                  <c:v>166.2786611756236</c:v>
                </c:pt>
                <c:pt idx="21">
                  <c:v>159.63952161095227</c:v>
                </c:pt>
                <c:pt idx="22">
                  <c:v>153.00038204628092</c:v>
                </c:pt>
                <c:pt idx="23">
                  <c:v>146.3685182660364</c:v>
                </c:pt>
                <c:pt idx="24">
                  <c:v>139.73665448579186</c:v>
                </c:pt>
                <c:pt idx="25">
                  <c:v>133.11054543683622</c:v>
                </c:pt>
                <c:pt idx="26">
                  <c:v>126.48443638788059</c:v>
                </c:pt>
                <c:pt idx="27">
                  <c:v>119.86230950770994</c:v>
                </c:pt>
                <c:pt idx="28">
                  <c:v>113.24018262753927</c:v>
                </c:pt>
                <c:pt idx="29">
                  <c:v>106.62009131376963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82-437F-91F1-0DCF1C686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00184"/>
        <c:axId val="445645808"/>
      </c:scatterChart>
      <c:valAx>
        <c:axId val="4398001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5645808"/>
        <c:crosses val="autoZero"/>
        <c:crossBetween val="midCat"/>
      </c:valAx>
      <c:valAx>
        <c:axId val="445645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00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0.000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71-45A1-B68A-139DBE4D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00184"/>
        <c:axId val="445645808"/>
      </c:scatterChart>
      <c:valAx>
        <c:axId val="4398001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5645808"/>
        <c:crosses val="autoZero"/>
        <c:crossBetween val="midCat"/>
      </c:valAx>
      <c:valAx>
        <c:axId val="445645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9800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</xdr:colOff>
      <xdr:row>16</xdr:row>
      <xdr:rowOff>149860</xdr:rowOff>
    </xdr:from>
    <xdr:to>
      <xdr:col>15</xdr:col>
      <xdr:colOff>241300</xdr:colOff>
      <xdr:row>50</xdr:row>
      <xdr:rowOff>101600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4093193-D8B8-4FF0-8F3D-B0772A3FBB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44450</xdr:colOff>
      <xdr:row>17</xdr:row>
      <xdr:rowOff>13337</xdr:rowOff>
    </xdr:from>
    <xdr:ext cx="5429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528E5C-1776-4C6C-8868-459923C6B533}"/>
                </a:ext>
              </a:extLst>
            </xdr:cNvPr>
            <xdr:cNvSpPr txBox="1"/>
          </xdr:nvSpPr>
          <xdr:spPr>
            <a:xfrm>
              <a:off x="3702050" y="334073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528E5C-1776-4C6C-8868-459923C6B533}"/>
                </a:ext>
              </a:extLst>
            </xdr:cNvPr>
            <xdr:cNvSpPr txBox="1"/>
          </xdr:nvSpPr>
          <xdr:spPr>
            <a:xfrm>
              <a:off x="3702050" y="334073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14</xdr:col>
      <xdr:colOff>85724</xdr:colOff>
      <xdr:row>48</xdr:row>
      <xdr:rowOff>95251</xdr:rowOff>
    </xdr:from>
    <xdr:ext cx="7334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32611E3-FD6B-4B13-A04E-35EA04FBA22C}"/>
                </a:ext>
              </a:extLst>
            </xdr:cNvPr>
            <xdr:cNvSpPr txBox="1"/>
          </xdr:nvSpPr>
          <xdr:spPr>
            <a:xfrm>
              <a:off x="8620124" y="893445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32611E3-FD6B-4B13-A04E-35EA04FBA22C}"/>
                </a:ext>
              </a:extLst>
            </xdr:cNvPr>
            <xdr:cNvSpPr txBox="1"/>
          </xdr:nvSpPr>
          <xdr:spPr>
            <a:xfrm>
              <a:off x="8620124" y="893445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5080</xdr:colOff>
      <xdr:row>16</xdr:row>
      <xdr:rowOff>149860</xdr:rowOff>
    </xdr:from>
    <xdr:to>
      <xdr:col>15</xdr:col>
      <xdr:colOff>241300</xdr:colOff>
      <xdr:row>50</xdr:row>
      <xdr:rowOff>101600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6FDD6EE-F00B-4EF3-A896-9621AF015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44450</xdr:colOff>
      <xdr:row>17</xdr:row>
      <xdr:rowOff>13337</xdr:rowOff>
    </xdr:from>
    <xdr:ext cx="5429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58EE0A0-CFE1-4A72-BE55-D607DA8AAD01}"/>
                </a:ext>
              </a:extLst>
            </xdr:cNvPr>
            <xdr:cNvSpPr txBox="1"/>
          </xdr:nvSpPr>
          <xdr:spPr>
            <a:xfrm>
              <a:off x="3823970" y="330517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 i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58EE0A0-CFE1-4A72-BE55-D607DA8AAD01}"/>
                </a:ext>
              </a:extLst>
            </xdr:cNvPr>
            <xdr:cNvSpPr txBox="1"/>
          </xdr:nvSpPr>
          <xdr:spPr>
            <a:xfrm>
              <a:off x="3823970" y="3305177"/>
              <a:ext cx="542925" cy="250453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ru-RU" sz="1600" b="1" i="1"/>
            </a:p>
          </xdr:txBody>
        </xdr:sp>
      </mc:Fallback>
    </mc:AlternateContent>
    <xdr:clientData/>
  </xdr:oneCellAnchor>
  <xdr:oneCellAnchor>
    <xdr:from>
      <xdr:col>14</xdr:col>
      <xdr:colOff>85724</xdr:colOff>
      <xdr:row>48</xdr:row>
      <xdr:rowOff>95251</xdr:rowOff>
    </xdr:from>
    <xdr:ext cx="73342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A0A18A7-D3CE-467B-9DFA-3ACB0E33C670}"/>
                </a:ext>
              </a:extLst>
            </xdr:cNvPr>
            <xdr:cNvSpPr txBox="1"/>
          </xdr:nvSpPr>
          <xdr:spPr>
            <a:xfrm>
              <a:off x="8863964" y="905637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A0A18A7-D3CE-467B-9DFA-3ACB0E33C670}"/>
                </a:ext>
              </a:extLst>
            </xdr:cNvPr>
            <xdr:cNvSpPr txBox="1"/>
          </xdr:nvSpPr>
          <xdr:spPr>
            <a:xfrm>
              <a:off x="8863964" y="9056371"/>
              <a:ext cx="733425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𝑳,[𝒎𝒎]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88B94-722A-4685-A77B-B62FA1816C49}">
  <sheetPr codeName="Лист1"/>
  <dimension ref="A2:AJ15"/>
  <sheetViews>
    <sheetView topLeftCell="B1" zoomScale="60" zoomScaleNormal="60" workbookViewId="0">
      <selection activeCell="D40" sqref="D40"/>
    </sheetView>
  </sheetViews>
  <sheetFormatPr defaultRowHeight="14.4" x14ac:dyDescent="0.3"/>
  <sheetData>
    <row r="2" spans="1:36" ht="15" thickBot="1" x14ac:dyDescent="0.35"/>
    <row r="3" spans="1:36" ht="15.6" thickTop="1" thickBot="1" x14ac:dyDescent="0.35">
      <c r="B3" s="1" t="s">
        <v>0</v>
      </c>
      <c r="C3" s="5">
        <v>0.1</v>
      </c>
    </row>
    <row r="4" spans="1:36" ht="15.6" thickTop="1" thickBot="1" x14ac:dyDescent="0.35">
      <c r="B4" s="1" t="s">
        <v>1</v>
      </c>
      <c r="C4" s="2">
        <f>C3/30</f>
        <v>3.3333333333333335E-3</v>
      </c>
    </row>
    <row r="5" spans="1:36" ht="15.6" thickTop="1" thickBot="1" x14ac:dyDescent="0.35">
      <c r="B5" s="1" t="s">
        <v>2</v>
      </c>
      <c r="C5" s="2">
        <f>(C9*C8*C4^2)/(2*C10)</f>
        <v>0.4333333333333334</v>
      </c>
    </row>
    <row r="6" spans="1:36" ht="15.6" thickTop="1" thickBot="1" x14ac:dyDescent="0.35">
      <c r="B6" s="1" t="s">
        <v>3</v>
      </c>
      <c r="C6" s="6">
        <v>500</v>
      </c>
      <c r="D6">
        <v>500.06666666666672</v>
      </c>
    </row>
    <row r="7" spans="1:36" ht="15.6" thickTop="1" thickBot="1" x14ac:dyDescent="0.35">
      <c r="A7" s="9"/>
      <c r="B7" s="10"/>
      <c r="C7" s="10"/>
      <c r="D7" s="9"/>
    </row>
    <row r="8" spans="1:36" ht="15.6" thickTop="1" thickBot="1" x14ac:dyDescent="0.35">
      <c r="B8" s="1" t="s">
        <v>4</v>
      </c>
      <c r="C8" s="6">
        <v>460</v>
      </c>
    </row>
    <row r="9" spans="1:36" ht="15.6" thickTop="1" thickBot="1" x14ac:dyDescent="0.35">
      <c r="B9" s="1" t="s">
        <v>5</v>
      </c>
      <c r="C9" s="6">
        <v>7800</v>
      </c>
    </row>
    <row r="10" spans="1:36" ht="15.6" thickTop="1" thickBot="1" x14ac:dyDescent="0.35">
      <c r="B10" s="1" t="s">
        <v>6</v>
      </c>
      <c r="C10" s="6">
        <v>46</v>
      </c>
    </row>
    <row r="11" spans="1:36" ht="15.6" thickTop="1" thickBot="1" x14ac:dyDescent="0.35">
      <c r="A11" s="9"/>
      <c r="B11" s="10"/>
      <c r="C11" s="10"/>
      <c r="D11" s="9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5.6" thickTop="1" thickBot="1" x14ac:dyDescent="0.35">
      <c r="B12" s="1" t="s">
        <v>7</v>
      </c>
      <c r="C12" s="6">
        <v>300</v>
      </c>
      <c r="E12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5.6" thickTop="1" thickBot="1" x14ac:dyDescent="0.35">
      <c r="B13" s="1" t="s">
        <v>8</v>
      </c>
      <c r="C13" s="6">
        <v>100</v>
      </c>
      <c r="E13" t="s">
        <v>9</v>
      </c>
      <c r="F13" s="4">
        <f>C12</f>
        <v>300</v>
      </c>
      <c r="G13" s="3">
        <v>293.28675798022084</v>
      </c>
      <c r="H13" s="3">
        <v>286.57351596044163</v>
      </c>
      <c r="I13" s="3">
        <v>279.86230950710069</v>
      </c>
      <c r="J13" s="3">
        <v>273.15110305375981</v>
      </c>
      <c r="K13" s="3">
        <v>266.44387876927192</v>
      </c>
      <c r="L13" s="3">
        <v>259.73665448478408</v>
      </c>
      <c r="M13" s="3">
        <v>253.03518493167226</v>
      </c>
      <c r="N13" s="3">
        <v>246.33371537856041</v>
      </c>
      <c r="O13" s="3">
        <v>239.63952160996649</v>
      </c>
      <c r="P13" s="3">
        <v>232.9453278413726</v>
      </c>
      <c r="Q13" s="3">
        <v>226.25961292373614</v>
      </c>
      <c r="R13" s="3">
        <v>219.57389800609968</v>
      </c>
      <c r="S13" s="3">
        <v>212.89749443938217</v>
      </c>
      <c r="T13" s="3">
        <v>206.22109087266466</v>
      </c>
      <c r="U13" s="3">
        <v>199.55442420610814</v>
      </c>
      <c r="V13" s="3">
        <v>192.88775753955161</v>
      </c>
      <c r="W13" s="3">
        <v>186.23082777313707</v>
      </c>
      <c r="X13" s="3">
        <v>179.57389800672252</v>
      </c>
      <c r="Y13" s="3">
        <v>172.92627959117306</v>
      </c>
      <c r="Z13" s="3">
        <v>166.2786611756236</v>
      </c>
      <c r="AA13" s="3">
        <v>159.63952161095227</v>
      </c>
      <c r="AB13" s="3">
        <v>153.00038204628092</v>
      </c>
      <c r="AC13" s="3">
        <v>146.3685182660364</v>
      </c>
      <c r="AD13" s="3">
        <v>139.73665448579186</v>
      </c>
      <c r="AE13" s="3">
        <v>133.11054543683622</v>
      </c>
      <c r="AF13" s="3">
        <v>126.48443638788059</v>
      </c>
      <c r="AG13" s="3">
        <v>119.86230950770994</v>
      </c>
      <c r="AH13" s="3">
        <v>113.24018262753927</v>
      </c>
      <c r="AI13" s="3">
        <v>106.62009131376963</v>
      </c>
      <c r="AJ13" s="4">
        <f>C13</f>
        <v>100</v>
      </c>
    </row>
    <row r="14" spans="1:36" ht="15" thickTop="1" x14ac:dyDescent="0.3"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x14ac:dyDescent="0.3">
      <c r="E15" t="s">
        <v>10</v>
      </c>
      <c r="F15" s="3"/>
      <c r="G15" s="3">
        <f t="shared" ref="G15:AI15" si="1">G13+(($C$10*$C$5)/($C$9*$C$8))*((H13-2*G13+F13)/($C$4^2))</f>
        <v>293.28675798022084</v>
      </c>
      <c r="H15" s="3">
        <f t="shared" si="1"/>
        <v>286.57453374366077</v>
      </c>
      <c r="I15" s="3">
        <f t="shared" si="1"/>
        <v>279.86230950710069</v>
      </c>
      <c r="J15" s="3">
        <f t="shared" si="1"/>
        <v>273.1530941381863</v>
      </c>
      <c r="K15" s="3">
        <f t="shared" si="1"/>
        <v>266.44387876927192</v>
      </c>
      <c r="L15" s="3">
        <f t="shared" si="1"/>
        <v>259.73953185047208</v>
      </c>
      <c r="M15" s="3">
        <f t="shared" si="1"/>
        <v>253.03518493167223</v>
      </c>
      <c r="N15" s="3">
        <f t="shared" si="1"/>
        <v>246.33735327081939</v>
      </c>
      <c r="O15" s="3">
        <f t="shared" si="1"/>
        <v>239.63952160996649</v>
      </c>
      <c r="P15" s="3">
        <f t="shared" si="1"/>
        <v>232.94956726685132</v>
      </c>
      <c r="Q15" s="3">
        <f t="shared" si="1"/>
        <v>226.25961292373614</v>
      </c>
      <c r="R15" s="3">
        <f t="shared" si="1"/>
        <v>219.57855368155916</v>
      </c>
      <c r="S15" s="3">
        <f t="shared" si="1"/>
        <v>212.89749443938217</v>
      </c>
      <c r="T15" s="3">
        <f t="shared" si="1"/>
        <v>206.22595932274515</v>
      </c>
      <c r="U15" s="3">
        <f t="shared" si="1"/>
        <v>199.55442420610814</v>
      </c>
      <c r="V15" s="3">
        <f t="shared" si="1"/>
        <v>192.89262598962262</v>
      </c>
      <c r="W15" s="3">
        <f t="shared" si="1"/>
        <v>186.23082777313707</v>
      </c>
      <c r="X15" s="3">
        <f t="shared" si="1"/>
        <v>179.57855368215507</v>
      </c>
      <c r="Y15" s="3">
        <f t="shared" si="1"/>
        <v>172.92627959117306</v>
      </c>
      <c r="Z15" s="3">
        <f t="shared" si="1"/>
        <v>166.28290060106266</v>
      </c>
      <c r="AA15" s="3">
        <f t="shared" si="1"/>
        <v>159.63952161095227</v>
      </c>
      <c r="AB15" s="3">
        <f t="shared" si="1"/>
        <v>153.00401993849434</v>
      </c>
      <c r="AC15" s="3">
        <f t="shared" si="1"/>
        <v>146.3685182660364</v>
      </c>
      <c r="AD15" s="3">
        <f t="shared" si="1"/>
        <v>139.73953185143631</v>
      </c>
      <c r="AE15" s="3">
        <f t="shared" si="1"/>
        <v>133.11054543683622</v>
      </c>
      <c r="AF15" s="3">
        <f t="shared" si="1"/>
        <v>126.48642747227308</v>
      </c>
      <c r="AG15" s="3">
        <f t="shared" si="1"/>
        <v>119.86230950770994</v>
      </c>
      <c r="AH15" s="3">
        <f t="shared" si="1"/>
        <v>113.24120041073979</v>
      </c>
      <c r="AI15" s="3">
        <f t="shared" si="1"/>
        <v>106.62009131376963</v>
      </c>
      <c r="AJ15" s="3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0554D-CCC5-409A-AFD0-34F62ABEC15D}">
  <sheetPr codeName="Лист3"/>
  <dimension ref="A2:AJ16"/>
  <sheetViews>
    <sheetView tabSelected="1" zoomScale="60" zoomScaleNormal="60" workbookViewId="0">
      <selection activeCell="G13" sqref="G13:AI13"/>
    </sheetView>
  </sheetViews>
  <sheetFormatPr defaultRowHeight="14.4" x14ac:dyDescent="0.3"/>
  <cols>
    <col min="6" max="7" width="10.6640625" bestFit="1" customWidth="1"/>
  </cols>
  <sheetData>
    <row r="2" spans="1:36" ht="15" thickBot="1" x14ac:dyDescent="0.35"/>
    <row r="3" spans="1:36" ht="15.6" thickTop="1" thickBot="1" x14ac:dyDescent="0.35">
      <c r="B3" s="1" t="s">
        <v>0</v>
      </c>
      <c r="C3" s="5">
        <v>0.1</v>
      </c>
    </row>
    <row r="4" spans="1:36" ht="15.6" thickTop="1" thickBot="1" x14ac:dyDescent="0.35">
      <c r="B4" s="1" t="s">
        <v>1</v>
      </c>
      <c r="C4" s="2">
        <f>C3/30</f>
        <v>3.3333333333333335E-3</v>
      </c>
    </row>
    <row r="5" spans="1:36" ht="15.6" thickTop="1" thickBot="1" x14ac:dyDescent="0.35">
      <c r="B5" s="1" t="s">
        <v>2</v>
      </c>
      <c r="C5" s="2">
        <f>(C9*C8*C4^2)/(2*C10)</f>
        <v>0.4333333333333334</v>
      </c>
    </row>
    <row r="6" spans="1:36" ht="15.6" thickTop="1" thickBot="1" x14ac:dyDescent="0.35">
      <c r="B6" s="1" t="s">
        <v>3</v>
      </c>
      <c r="C6" s="6">
        <v>5000</v>
      </c>
      <c r="D6">
        <v>5000.2333333333345</v>
      </c>
    </row>
    <row r="7" spans="1:36" ht="15.6" thickTop="1" thickBot="1" x14ac:dyDescent="0.35">
      <c r="A7" s="9"/>
      <c r="B7" s="10"/>
      <c r="C7" s="10"/>
      <c r="D7" s="9"/>
    </row>
    <row r="8" spans="1:36" ht="15.6" thickTop="1" thickBot="1" x14ac:dyDescent="0.35">
      <c r="B8" s="1" t="s">
        <v>4</v>
      </c>
      <c r="C8" s="6">
        <v>460</v>
      </c>
    </row>
    <row r="9" spans="1:36" ht="15.6" thickTop="1" thickBot="1" x14ac:dyDescent="0.35">
      <c r="B9" s="1" t="s">
        <v>5</v>
      </c>
      <c r="C9" s="6">
        <v>7800</v>
      </c>
    </row>
    <row r="10" spans="1:36" ht="15.6" thickTop="1" thickBot="1" x14ac:dyDescent="0.35">
      <c r="B10" s="1" t="s">
        <v>6</v>
      </c>
      <c r="C10" s="6">
        <v>46</v>
      </c>
    </row>
    <row r="11" spans="1:36" ht="15.6" thickTop="1" thickBot="1" x14ac:dyDescent="0.35">
      <c r="A11" s="9"/>
      <c r="B11" s="10"/>
      <c r="C11" s="10"/>
      <c r="D11" s="9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1:36" ht="15.6" thickTop="1" thickBot="1" x14ac:dyDescent="0.35">
      <c r="B12" s="1" t="s">
        <v>11</v>
      </c>
      <c r="C12" s="6">
        <v>92000</v>
      </c>
      <c r="E12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ht="15.6" thickTop="1" thickBot="1" x14ac:dyDescent="0.35">
      <c r="B13" s="1" t="s">
        <v>8</v>
      </c>
      <c r="C13" s="6">
        <v>100</v>
      </c>
      <c r="E13" t="s">
        <v>9</v>
      </c>
      <c r="F13" s="11">
        <f>(F16/C10)*C4+G13</f>
        <v>299.99997763108735</v>
      </c>
      <c r="G13" s="11">
        <v>293.33331096442066</v>
      </c>
      <c r="H13" s="11">
        <v>286.6666443611611</v>
      </c>
      <c r="I13" s="11">
        <v>279.99997782112894</v>
      </c>
      <c r="J13" s="11">
        <v>273.33331134396514</v>
      </c>
      <c r="K13" s="11">
        <v>266.66664492913264</v>
      </c>
      <c r="L13" s="11">
        <v>259.99997857591751</v>
      </c>
      <c r="M13" s="11">
        <v>253.3333122834313</v>
      </c>
      <c r="N13" s="11">
        <v>246.66664605061328</v>
      </c>
      <c r="O13" s="11">
        <v>239.99997987623377</v>
      </c>
      <c r="P13" s="11">
        <v>233.33331375889719</v>
      </c>
      <c r="Q13" s="11">
        <v>226.66664769704656</v>
      </c>
      <c r="R13" s="11">
        <v>219.9999816889673</v>
      </c>
      <c r="S13" s="11">
        <v>213.33331573279273</v>
      </c>
      <c r="T13" s="11">
        <v>206.66664982650872</v>
      </c>
      <c r="U13" s="11">
        <v>199.99998396796005</v>
      </c>
      <c r="V13" s="11">
        <v>193.33331815485587</v>
      </c>
      <c r="W13" s="11">
        <v>186.6666523847768</v>
      </c>
      <c r="X13" s="11">
        <v>179.99998665518126</v>
      </c>
      <c r="Y13" s="11">
        <v>173.33332096341309</v>
      </c>
      <c r="Z13" s="11">
        <v>166.66665530670878</v>
      </c>
      <c r="AA13" s="11">
        <v>159.9999896822055</v>
      </c>
      <c r="AB13" s="11">
        <v>153.33332408694912</v>
      </c>
      <c r="AC13" s="11">
        <v>146.66665851790265</v>
      </c>
      <c r="AD13" s="11">
        <v>139.99999297195473</v>
      </c>
      <c r="AE13" s="11">
        <v>133.33332744592857</v>
      </c>
      <c r="AF13" s="11">
        <v>126.66666193659087</v>
      </c>
      <c r="AG13" s="11">
        <v>119.99999644066111</v>
      </c>
      <c r="AH13" s="11">
        <v>113.3333309548207</v>
      </c>
      <c r="AI13" s="11">
        <v>106.66666547572241</v>
      </c>
      <c r="AJ13" s="4">
        <f>C13</f>
        <v>100</v>
      </c>
    </row>
    <row r="14" spans="1:36" ht="15" thickTop="1" x14ac:dyDescent="0.3"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</row>
    <row r="15" spans="1:36" x14ac:dyDescent="0.3">
      <c r="E15" t="s">
        <v>10</v>
      </c>
      <c r="F15" s="3"/>
      <c r="G15" s="3">
        <f t="shared" ref="G15:AI15" si="1">G13+(($C$10*$C$5)/($C$9*$C$8))*((H13-2*G13+F13)/($C$4^2))</f>
        <v>293.33331099612423</v>
      </c>
      <c r="H15" s="3">
        <f t="shared" si="1"/>
        <v>286.6666443927748</v>
      </c>
      <c r="I15" s="3">
        <f t="shared" si="1"/>
        <v>279.99997785256312</v>
      </c>
      <c r="J15" s="3">
        <f t="shared" si="1"/>
        <v>273.33331137513079</v>
      </c>
      <c r="K15" s="3">
        <f t="shared" si="1"/>
        <v>266.66664495994132</v>
      </c>
      <c r="L15" s="3">
        <f t="shared" si="1"/>
        <v>259.99997860628196</v>
      </c>
      <c r="M15" s="3">
        <f t="shared" si="1"/>
        <v>253.3333123132654</v>
      </c>
      <c r="N15" s="3">
        <f t="shared" si="1"/>
        <v>246.66664607983253</v>
      </c>
      <c r="O15" s="3">
        <f t="shared" si="1"/>
        <v>239.99997990475524</v>
      </c>
      <c r="P15" s="3">
        <f t="shared" si="1"/>
        <v>233.33331378664016</v>
      </c>
      <c r="Q15" s="3">
        <f t="shared" si="1"/>
        <v>226.66664772393224</v>
      </c>
      <c r="R15" s="3">
        <f t="shared" si="1"/>
        <v>219.99998171491964</v>
      </c>
      <c r="S15" s="3">
        <f t="shared" si="1"/>
        <v>213.33331575773801</v>
      </c>
      <c r="T15" s="3">
        <f t="shared" si="1"/>
        <v>206.66664985037639</v>
      </c>
      <c r="U15" s="3">
        <f t="shared" si="1"/>
        <v>199.9999839906823</v>
      </c>
      <c r="V15" s="3">
        <f t="shared" si="1"/>
        <v>193.33331817636844</v>
      </c>
      <c r="W15" s="3">
        <f t="shared" si="1"/>
        <v>186.66665240501857</v>
      </c>
      <c r="X15" s="3">
        <f t="shared" si="1"/>
        <v>179.99998667409494</v>
      </c>
      <c r="Y15" s="3">
        <f t="shared" si="1"/>
        <v>173.33332098094502</v>
      </c>
      <c r="Z15" s="3">
        <f t="shared" si="1"/>
        <v>166.66665532280928</v>
      </c>
      <c r="AA15" s="3">
        <f t="shared" si="1"/>
        <v>159.99998969682895</v>
      </c>
      <c r="AB15" s="3">
        <f t="shared" si="1"/>
        <v>153.33332410005409</v>
      </c>
      <c r="AC15" s="3">
        <f t="shared" si="1"/>
        <v>146.66665852945192</v>
      </c>
      <c r="AD15" s="3">
        <f t="shared" si="1"/>
        <v>139.99999298191563</v>
      </c>
      <c r="AE15" s="3">
        <f t="shared" si="1"/>
        <v>133.33332745427279</v>
      </c>
      <c r="AF15" s="3">
        <f t="shared" si="1"/>
        <v>126.66666194329484</v>
      </c>
      <c r="AG15" s="3">
        <f t="shared" si="1"/>
        <v>119.99999644570579</v>
      </c>
      <c r="AH15" s="3">
        <f t="shared" si="1"/>
        <v>113.33333095819177</v>
      </c>
      <c r="AI15" s="3">
        <f t="shared" si="1"/>
        <v>106.66666547741035</v>
      </c>
      <c r="AJ15" s="3"/>
    </row>
    <row r="16" spans="1:36" x14ac:dyDescent="0.3">
      <c r="E16" s="3" t="s">
        <v>12</v>
      </c>
      <c r="F16"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2021-03-10T15:24:21Z</dcterms:created>
  <dcterms:modified xsi:type="dcterms:W3CDTF">2021-03-22T16:11:15Z</dcterms:modified>
</cp:coreProperties>
</file>