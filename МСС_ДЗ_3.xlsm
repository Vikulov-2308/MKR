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енис\Desktop\"/>
    </mc:Choice>
  </mc:AlternateContent>
  <xr:revisionPtr revIDLastSave="0" documentId="13_ncr:1_{81DBD038-6984-42F6-ACBB-EBD655B2E51E}" xr6:coauthVersionLast="46" xr6:coauthVersionMax="46" xr10:uidLastSave="{00000000-0000-0000-0000-000000000000}"/>
  <bookViews>
    <workbookView xWindow="-108" yWindow="-108" windowWidth="22140" windowHeight="13176" xr2:uid="{00000000-000D-0000-FFFF-FFFF00000000}"/>
  </bookViews>
  <sheets>
    <sheet name="Лист1" sheetId="1" r:id="rId1"/>
  </sheets>
  <externalReferences>
    <externalReference r:id="rId2"/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59" i="1"/>
  <c r="CV91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46" i="1"/>
  <c r="BS50" i="1"/>
  <c r="BS62" i="1"/>
  <c r="BS35" i="1"/>
  <c r="AM42" i="1"/>
  <c r="AM43" i="1"/>
  <c r="AM50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EB43" i="1" l="1"/>
  <c r="CV75" i="1" s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O53" i="1" s="1"/>
  <c r="AN49" i="1"/>
  <c r="AN47" i="1"/>
  <c r="AN45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 s="1"/>
  <c r="EB53" i="1"/>
  <c r="CV85" i="1" s="1"/>
  <c r="EB45" i="1"/>
  <c r="CV77" i="1" s="1"/>
  <c r="EB37" i="1"/>
  <c r="CV69" i="1" s="1"/>
  <c r="AO51" i="1" l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35" i="1"/>
  <c r="AO49" i="1"/>
  <c r="AP49" i="1" s="1"/>
  <c r="AQ49" i="1" s="1"/>
  <c r="AR49" i="1" s="1"/>
  <c r="AN38" i="1"/>
  <c r="AN48" i="1"/>
  <c r="AO48" i="1" s="1"/>
  <c r="AP48" i="1" s="1"/>
  <c r="AQ48" i="1" s="1"/>
  <c r="AR48" i="1" s="1"/>
  <c r="AN43" i="1"/>
  <c r="AN39" i="1"/>
  <c r="H38" i="1"/>
  <c r="H35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Y95" i="1"/>
  <c r="O94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S49" i="1"/>
  <c r="AT49" i="1" s="1"/>
  <c r="AU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AP35" i="1" s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AO42" i="1" l="1"/>
  <c r="AO62" i="1"/>
  <c r="A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BP63" i="1"/>
  <c r="EA38" i="1"/>
  <c r="AQ51" i="1"/>
  <c r="AR51" i="1" s="1"/>
  <c r="AS51" i="1" s="1"/>
  <c r="AT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DZ47" i="1"/>
  <c r="CU79" i="1"/>
  <c r="DZ38" i="1"/>
  <c r="CU70" i="1"/>
  <c r="EA61" i="1" l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3" i="1"/>
  <c r="CT95" i="1"/>
  <c r="BN95" i="1" s="1"/>
  <c r="DY38" i="1"/>
  <c r="CT70" i="1"/>
  <c r="DY58" i="1"/>
  <c r="CT90" i="1"/>
  <c r="CU92" i="1" l="1"/>
  <c r="DZ60" i="1"/>
  <c r="CU77" i="1"/>
  <c r="DZ45" i="1"/>
  <c r="BP50" i="1"/>
  <c r="EA50" i="1"/>
  <c r="BP35" i="1"/>
  <c r="EA35" i="1"/>
  <c r="EA40" i="1"/>
  <c r="CU81" i="1"/>
  <c r="DZ49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38" i="1"/>
  <c r="CS70" i="1"/>
  <c r="DX63" i="1"/>
  <c r="CS95" i="1"/>
  <c r="BM95" i="1" s="1"/>
  <c r="CU67" i="1" l="1"/>
  <c r="DZ35" i="1"/>
  <c r="DY45" i="1"/>
  <c r="CT77" i="1"/>
  <c r="DY49" i="1"/>
  <c r="CT81" i="1"/>
  <c r="BO93" i="1"/>
  <c r="BO92" i="1" s="1"/>
  <c r="BO91" i="1" s="1"/>
  <c r="BO90" i="1" s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63" i="1"/>
  <c r="CR95" i="1"/>
  <c r="BL95" i="1" s="1"/>
  <c r="CQ96" i="1"/>
  <c r="DV64" i="1"/>
  <c r="DW58" i="1"/>
  <c r="CR90" i="1"/>
  <c r="DW47" i="1"/>
  <c r="CR79" i="1"/>
  <c r="BN93" i="1" l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V38" i="1"/>
  <c r="CQ70" i="1"/>
  <c r="DU64" i="1"/>
  <c r="CP96" i="1"/>
  <c r="DV47" i="1"/>
  <c r="CQ79" i="1"/>
  <c r="DV63" i="1"/>
  <c r="CQ95" i="1"/>
  <c r="BK95" i="1" s="1"/>
  <c r="DX35" i="1" l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38" i="1"/>
  <c r="CP70" i="1"/>
  <c r="DU58" i="1"/>
  <c r="CP90" i="1"/>
  <c r="DT64" i="1"/>
  <c r="CO96" i="1"/>
  <c r="DU63" i="1"/>
  <c r="CP95" i="1"/>
  <c r="BJ95" i="1" s="1"/>
  <c r="DU47" i="1"/>
  <c r="CP79" i="1"/>
  <c r="DV45" i="1" l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 s="1"/>
  <c r="DT38" i="1"/>
  <c r="CO70" i="1"/>
  <c r="BL78" i="1" l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Q67" i="1"/>
  <c r="DV35" i="1"/>
  <c r="CP93" i="1"/>
  <c r="DU61" i="1"/>
  <c r="CP92" i="1"/>
  <c r="DU60" i="1"/>
  <c r="BK93" i="1"/>
  <c r="BK92" i="1" s="1"/>
  <c r="BK91" i="1" s="1"/>
  <c r="BK90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38" i="1"/>
  <c r="CN70" i="1"/>
  <c r="DS63" i="1"/>
  <c r="CN95" i="1"/>
  <c r="BH95" i="1" s="1"/>
  <c r="DS58" i="1"/>
  <c r="CN90" i="1"/>
  <c r="DX67" i="1" l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63" i="1"/>
  <c r="CM95" i="1"/>
  <c r="BG95" i="1" s="1"/>
  <c r="DR38" i="1"/>
  <c r="CM70" i="1"/>
  <c r="DQ64" i="1"/>
  <c r="CL96" i="1"/>
  <c r="DR58" i="1"/>
  <c r="CM90" i="1"/>
  <c r="DR47" i="1"/>
  <c r="CM79" i="1"/>
  <c r="CN93" i="1" l="1"/>
  <c r="DS61" i="1"/>
  <c r="DS45" i="1"/>
  <c r="CN77" i="1"/>
  <c r="DS60" i="1"/>
  <c r="CN92" i="1"/>
  <c r="DT35" i="1"/>
  <c r="CO67" i="1"/>
  <c r="DT50" i="1"/>
  <c r="CO82" i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CN81" i="1"/>
  <c r="DS49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38" i="1"/>
  <c r="CL70" i="1"/>
  <c r="DQ63" i="1"/>
  <c r="CL95" i="1"/>
  <c r="BF95" i="1" s="1"/>
  <c r="CN67" i="1" l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O64" i="1"/>
  <c r="CJ96" i="1"/>
  <c r="DP63" i="1"/>
  <c r="CK95" i="1"/>
  <c r="BE95" i="1" s="1"/>
  <c r="DP47" i="1"/>
  <c r="CK79" i="1"/>
  <c r="BH78" i="1" l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CL81" i="1"/>
  <c r="DQ49" i="1"/>
  <c r="DQ45" i="1"/>
  <c r="CL77" i="1"/>
  <c r="CL92" i="1"/>
  <c r="DQ60" i="1"/>
  <c r="CL93" i="1"/>
  <c r="DQ61" i="1"/>
  <c r="CM67" i="1"/>
  <c r="DR35" i="1"/>
  <c r="DR50" i="1"/>
  <c r="CM82" i="1"/>
  <c r="BG89" i="1"/>
  <c r="BG88" i="1" s="1"/>
  <c r="BG87" i="1" s="1"/>
  <c r="BG86" i="1" s="1"/>
  <c r="BG85" i="1" s="1"/>
  <c r="BG84" i="1" s="1"/>
  <c r="BG83" i="1" s="1"/>
  <c r="CM75" i="1"/>
  <c r="DR43" i="1"/>
  <c r="DQ39" i="1"/>
  <c r="CL71" i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O38" i="1"/>
  <c r="CJ70" i="1"/>
  <c r="DO47" i="1"/>
  <c r="CJ79" i="1"/>
  <c r="DN64" i="1"/>
  <c r="CI96" i="1"/>
  <c r="DO58" i="1"/>
  <c r="CJ90" i="1"/>
  <c r="DT67" i="1" l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DN47" i="1"/>
  <c r="CI79" i="1"/>
  <c r="DN58" i="1"/>
  <c r="CI90" i="1"/>
  <c r="DM64" i="1"/>
  <c r="CH96" i="1"/>
  <c r="DN38" i="1"/>
  <c r="CI70" i="1"/>
  <c r="DN63" i="1"/>
  <c r="CI95" i="1"/>
  <c r="BC95" i="1" s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9" i="1"/>
  <c r="CJ81" i="1"/>
  <c r="DP35" i="1"/>
  <c r="CK67" i="1"/>
  <c r="DO45" i="1"/>
  <c r="CJ77" i="1"/>
  <c r="BF73" i="1"/>
  <c r="BF72" i="1" s="1"/>
  <c r="BF71" i="1" s="1"/>
  <c r="BF70" i="1" s="1"/>
  <c r="BF69" i="1" s="1"/>
  <c r="BF68" i="1" s="1"/>
  <c r="DR67" i="1" s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F67" i="1"/>
  <c r="CK73" i="1"/>
  <c r="DP41" i="1"/>
  <c r="CJ86" i="1"/>
  <c r="DO54" i="1"/>
  <c r="DO42" i="1"/>
  <c r="CJ74" i="1"/>
  <c r="DO39" i="1"/>
  <c r="CJ71" i="1"/>
  <c r="DO48" i="1"/>
  <c r="CJ80" i="1"/>
  <c r="DM38" i="1"/>
  <c r="CH70" i="1"/>
  <c r="DM63" i="1"/>
  <c r="CH95" i="1"/>
  <c r="BB95" i="1" s="1"/>
  <c r="DL64" i="1"/>
  <c r="CG96" i="1"/>
  <c r="DM58" i="1"/>
  <c r="CH90" i="1"/>
  <c r="DM47" i="1"/>
  <c r="CH79" i="1"/>
  <c r="BD86" i="1" l="1"/>
  <c r="BD85" i="1" s="1"/>
  <c r="BD84" i="1" s="1"/>
  <c r="BD83" i="1" s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8" i="1"/>
  <c r="CG90" i="1"/>
  <c r="DK64" i="1"/>
  <c r="CF96" i="1"/>
  <c r="DL63" i="1"/>
  <c r="CG95" i="1"/>
  <c r="BA95" i="1" s="1"/>
  <c r="DL38" i="1"/>
  <c r="CG70" i="1"/>
  <c r="CH93" i="1" l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CH83" i="1"/>
  <c r="DM51" i="1"/>
  <c r="DK63" i="1"/>
  <c r="CF95" i="1"/>
  <c r="AZ95" i="1" s="1"/>
  <c r="DJ64" i="1"/>
  <c r="CE96" i="1"/>
  <c r="DK38" i="1"/>
  <c r="CF70" i="1"/>
  <c r="DK58" i="1"/>
  <c r="CF90" i="1"/>
  <c r="DK47" i="1"/>
  <c r="CF79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BB86" i="1"/>
  <c r="BB85" i="1" s="1"/>
  <c r="BB84" i="1" s="1"/>
  <c r="BB83" i="1" s="1"/>
  <c r="DM50" i="1"/>
  <c r="CH82" i="1"/>
  <c r="DL49" i="1"/>
  <c r="CG81" i="1"/>
  <c r="BC78" i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M35" i="1"/>
  <c r="CH67" i="1"/>
  <c r="DL45" i="1"/>
  <c r="CG77" i="1"/>
  <c r="BC6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63" i="1"/>
  <c r="CE95" i="1"/>
  <c r="AY95" i="1" s="1"/>
  <c r="DJ47" i="1"/>
  <c r="CE79" i="1"/>
  <c r="DI64" i="1"/>
  <c r="CD96" i="1"/>
  <c r="DL35" i="1" l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CF77" i="1"/>
  <c r="DK45" i="1"/>
  <c r="BB82" i="1"/>
  <c r="BB81" i="1" s="1"/>
  <c r="BB80" i="1" s="1"/>
  <c r="BB79" i="1" s="1"/>
  <c r="BB78" i="1" s="1"/>
  <c r="BB77" i="1" s="1"/>
  <c r="BB76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63" i="1"/>
  <c r="CD95" i="1"/>
  <c r="AX95" i="1" s="1"/>
  <c r="DI47" i="1"/>
  <c r="CD79" i="1"/>
  <c r="DI38" i="1"/>
  <c r="CD70" i="1"/>
  <c r="DI58" i="1"/>
  <c r="CD90" i="1"/>
  <c r="DJ49" i="1" l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H38" i="1"/>
  <c r="CC70" i="1"/>
  <c r="DG64" i="1"/>
  <c r="CB96" i="1"/>
  <c r="AY82" i="1" l="1"/>
  <c r="AY81" i="1" s="1"/>
  <c r="AY80" i="1" s="1"/>
  <c r="AY79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38" i="1"/>
  <c r="CB70" i="1"/>
  <c r="DG63" i="1"/>
  <c r="CB95" i="1"/>
  <c r="AV95" i="1" s="1"/>
  <c r="DG47" i="1"/>
  <c r="CB79" i="1"/>
  <c r="CC92" i="1" l="1"/>
  <c r="DH60" i="1"/>
  <c r="DH61" i="1"/>
  <c r="CC93" i="1"/>
  <c r="AX93" i="1"/>
  <c r="AX92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58" i="1"/>
  <c r="CA90" i="1"/>
  <c r="DF38" i="1"/>
  <c r="CA70" i="1"/>
  <c r="DE64" i="1"/>
  <c r="BZ96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58" i="1"/>
  <c r="BZ90" i="1"/>
  <c r="DE47" i="1"/>
  <c r="BZ79" i="1"/>
  <c r="DE63" i="1"/>
  <c r="BZ95" i="1"/>
  <c r="AT95" i="1" s="1"/>
  <c r="DF49" i="1" l="1"/>
  <c r="CA81" i="1"/>
  <c r="DF61" i="1"/>
  <c r="CA93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CB82" i="1"/>
  <c r="DG50" i="1"/>
  <c r="DG35" i="1"/>
  <c r="CB67" i="1"/>
  <c r="DF45" i="1"/>
  <c r="CA77" i="1"/>
  <c r="AW67" i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38" i="1"/>
  <c r="BY70" i="1"/>
  <c r="DD63" i="1"/>
  <c r="BY95" i="1"/>
  <c r="AS95" i="1" s="1"/>
  <c r="DD58" i="1"/>
  <c r="BY90" i="1"/>
  <c r="DC64" i="1"/>
  <c r="BX96" i="1"/>
  <c r="DF35" i="1" l="1"/>
  <c r="CA67" i="1"/>
  <c r="DE61" i="1"/>
  <c r="BZ93" i="1"/>
  <c r="DF50" i="1"/>
  <c r="CA82" i="1"/>
  <c r="DE60" i="1"/>
  <c r="BZ92" i="1"/>
  <c r="AV78" i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AU93" i="1"/>
  <c r="AU92" i="1" s="1"/>
  <c r="DE45" i="1"/>
  <c r="BZ77" i="1"/>
  <c r="DE49" i="1"/>
  <c r="BZ81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38" i="1"/>
  <c r="BX70" i="1"/>
  <c r="DC47" i="1"/>
  <c r="BX79" i="1"/>
  <c r="DB64" i="1"/>
  <c r="BW96" i="1"/>
  <c r="DD45" i="1" l="1"/>
  <c r="BY77" i="1"/>
  <c r="BY92" i="1"/>
  <c r="DD60" i="1"/>
  <c r="BY93" i="1"/>
  <c r="DD61" i="1"/>
  <c r="AT82" i="1"/>
  <c r="AT81" i="1" s="1"/>
  <c r="AT80" i="1" s="1"/>
  <c r="AT79" i="1" s="1"/>
  <c r="BY81" i="1"/>
  <c r="DD49" i="1"/>
  <c r="BZ82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44" i="1"/>
  <c r="BY76" i="1"/>
  <c r="DD42" i="1"/>
  <c r="BY74" i="1"/>
  <c r="DB47" i="1"/>
  <c r="BW79" i="1"/>
  <c r="DB38" i="1"/>
  <c r="BW70" i="1"/>
  <c r="DB63" i="1"/>
  <c r="BW95" i="1"/>
  <c r="AQ95" i="1" s="1"/>
  <c r="DB58" i="1"/>
  <c r="BW90" i="1"/>
  <c r="DA64" i="1"/>
  <c r="BV96" i="1"/>
  <c r="DD50" i="1" l="1"/>
  <c r="BY82" i="1"/>
  <c r="AS82" i="1" s="1"/>
  <c r="AS81" i="1" s="1"/>
  <c r="AS80" i="1" s="1"/>
  <c r="AS79" i="1" s="1"/>
  <c r="DD35" i="1"/>
  <c r="BY67" i="1"/>
  <c r="BX93" i="1"/>
  <c r="DC61" i="1"/>
  <c r="DC60" i="1"/>
  <c r="BX92" i="1"/>
  <c r="DC49" i="1"/>
  <c r="BX81" i="1"/>
  <c r="DC45" i="1"/>
  <c r="BX77" i="1"/>
  <c r="AT67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CZ64" i="1"/>
  <c r="BT96" i="1" s="1"/>
  <c r="BU96" i="1"/>
  <c r="DA38" i="1"/>
  <c r="BV70" i="1"/>
  <c r="DB61" i="1" l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BX73" i="1"/>
  <c r="DC41" i="1"/>
  <c r="CZ47" i="1"/>
  <c r="BT79" i="1" s="1"/>
  <c r="BU79" i="1"/>
  <c r="CZ58" i="1"/>
  <c r="BT90" i="1" s="1"/>
  <c r="BU90" i="1"/>
  <c r="CZ38" i="1"/>
  <c r="BT70" i="1" s="1"/>
  <c r="BU70" i="1"/>
  <c r="CZ63" i="1"/>
  <c r="BT95" i="1" s="1"/>
  <c r="AN95" i="1" s="1"/>
  <c r="BU95" i="1"/>
  <c r="AO95" i="1" s="1"/>
  <c r="DB50" i="1" l="1"/>
  <c r="BW82" i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AQ82" i="1"/>
  <c r="AQ81" i="1" s="1"/>
  <c r="AQ80" i="1" s="1"/>
  <c r="AQ79" i="1" s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CZ60" i="1" l="1"/>
  <c r="BT92" i="1" s="1"/>
  <c r="BU92" i="1"/>
  <c r="BU77" i="1"/>
  <c r="CZ45" i="1"/>
  <c r="BT77" i="1" s="1"/>
  <c r="BV67" i="1"/>
  <c r="DA35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U93" i="1"/>
  <c r="CZ61" i="1"/>
  <c r="BT93" i="1" s="1"/>
  <c r="CZ49" i="1"/>
  <c r="BT81" i="1" s="1"/>
  <c r="BU81" i="1"/>
  <c r="DA50" i="1"/>
  <c r="BV82" i="1"/>
  <c r="AQ67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BU82" i="1" l="1"/>
  <c r="AO82" i="1" s="1"/>
  <c r="AO81" i="1" s="1"/>
  <c r="AO80" i="1" s="1"/>
  <c r="AO79" i="1" s="1"/>
  <c r="CZ50" i="1"/>
  <c r="BT82" i="1" s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CZ35" i="1"/>
  <c r="BT67" i="1" s="1"/>
  <c r="BU67" i="1"/>
  <c r="AP78" i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O78" i="1" l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N67" i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 l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<sst xmlns="http://schemas.openxmlformats.org/spreadsheetml/2006/main" count="30" uniqueCount="27">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</sst>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Border="1"/>
    <xf numFmtId="0" fontId="0" fillId="0" borderId="0" xfId="0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4" borderId="2" xfId="0" applyFill="1" applyBorder="1"/>
    <xf numFmtId="0" fontId="0" fillId="6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8269135274"/>
              <c:y val="0.88068349609229168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7.2072072072072071E-2"/>
              <c:y val="8.193445417096025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 formatCode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 formatCode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16-4AA7-A906-5EE2657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</a:t>
                </a:r>
                <a:r>
                  <a:rPr lang="en-US"/>
                  <a:t>L</a:t>
                </a:r>
                <a:r>
                  <a:rPr lang="ru-RU"/>
                  <a:t>, м</a:t>
                </a:r>
              </a:p>
            </c:rich>
          </c:tx>
          <c:layout>
            <c:manualLayout>
              <c:xMode val="edge"/>
              <c:yMode val="edge"/>
              <c:x val="0.9351415652456736"/>
              <c:y val="0.87963366768425644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</a:t>
                </a:r>
                <a:r>
                  <a:rPr lang="ru-RU" baseline="0"/>
                  <a:t> С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6.7004503019159597E-2"/>
              <c:y val="9.0870895030957993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283028</xdr:colOff>
      <xdr:row>5</xdr:row>
      <xdr:rowOff>76200</xdr:rowOff>
    </xdr:from>
    <xdr:to>
      <xdr:col>58</xdr:col>
      <xdr:colOff>435428</xdr:colOff>
      <xdr:row>26</xdr:row>
      <xdr:rowOff>156481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642257</xdr:colOff>
      <xdr:row>5</xdr:row>
      <xdr:rowOff>76200</xdr:rowOff>
    </xdr:from>
    <xdr:to>
      <xdr:col>49</xdr:col>
      <xdr:colOff>185057</xdr:colOff>
      <xdr:row>26</xdr:row>
      <xdr:rowOff>141515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125.98510031199007</v>
          </cell>
          <cell r="H13">
            <v>48.029799376019895</v>
          </cell>
          <cell r="I13">
            <v>18.59001827905394</v>
          </cell>
          <cell r="J13">
            <v>7.2128994012468883</v>
          </cell>
          <cell r="K13">
            <v>2.7997196416876764</v>
          </cell>
          <cell r="L13">
            <v>1.0867960305041822</v>
          </cell>
          <cell r="M13">
            <v>0.42187744356895224</v>
          </cell>
          <cell r="N13">
            <v>0.16376660834132173</v>
          </cell>
          <cell r="O13">
            <v>6.3571803719579822E-2</v>
          </cell>
          <cell r="P13">
            <v>2.4677646249006716E-2</v>
          </cell>
          <cell r="Q13">
            <v>9.579502133585955E-3</v>
          </cell>
          <cell r="R13">
            <v>3.7186229320738942E-3</v>
          </cell>
          <cell r="S13">
            <v>1.4435151557533846E-3</v>
          </cell>
          <cell r="T13">
            <v>5.603515176936404E-4</v>
          </cell>
          <cell r="U13">
            <v>2.1752028464263123E-4</v>
          </cell>
          <cell r="V13">
            <v>8.4438176269057422E-5</v>
          </cell>
          <cell r="W13">
            <v>3.2777874215581397E-5</v>
          </cell>
          <cell r="X13">
            <v>1.2722111431858111E-5</v>
          </cell>
          <cell r="Y13">
            <v>4.9539055694919282E-6</v>
          </cell>
          <cell r="Z13">
            <v>1.7904334329612879E-6</v>
          </cell>
          <cell r="AA13">
            <v>1.8391745589065234E-6</v>
          </cell>
          <cell r="AB13">
            <v>-9.1584970507431204E-6</v>
          </cell>
          <cell r="AC13">
            <v>8.1630008433065704E-5</v>
          </cell>
          <cell r="AD13">
            <v>-7.0334049029115381E-4</v>
          </cell>
          <cell r="AE13">
            <v>6.0692282442399298E-3</v>
          </cell>
          <cell r="AF13">
            <v>-5.2368720820943904E-2</v>
          </cell>
          <cell r="AG13">
            <v>0.45186820289118668</v>
          </cell>
          <cell r="AH13">
            <v>-3.8989847689813057</v>
          </cell>
          <cell r="AI13">
            <v>33.642735260059268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B96"/>
  <sheetViews>
    <sheetView tabSelected="1" topLeftCell="AG1" zoomScale="70" zoomScaleNormal="70" workbookViewId="0">
      <selection activeCell="C6" sqref="C6"/>
    </sheetView>
  </sheetViews>
  <sheetFormatPr defaultRowHeight="14.4" x14ac:dyDescent="0.3"/>
  <cols>
    <col min="1" max="1" width="13.44140625" customWidth="1"/>
    <col min="39" max="39" width="11.6640625" bestFit="1" customWidth="1"/>
    <col min="71" max="71" width="11.6640625" bestFit="1" customWidth="1"/>
  </cols>
  <sheetData>
    <row r="1" spans="1:37" ht="15" thickBot="1" x14ac:dyDescent="0.35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" thickBot="1" x14ac:dyDescent="0.35">
      <c r="A2" s="14" t="s">
        <v>25</v>
      </c>
      <c r="B2" s="9" t="s">
        <v>0</v>
      </c>
      <c r="C2" s="9">
        <v>0.1</v>
      </c>
      <c r="F2" s="5"/>
      <c r="G2" s="5">
        <v>1</v>
      </c>
      <c r="H2" s="5">
        <v>2</v>
      </c>
      <c r="I2" s="5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  <c r="AD2" s="5">
        <v>24</v>
      </c>
      <c r="AE2" s="5">
        <v>25</v>
      </c>
      <c r="AF2" s="5">
        <v>26</v>
      </c>
      <c r="AG2" s="5">
        <v>27</v>
      </c>
      <c r="AH2" s="5">
        <v>28</v>
      </c>
      <c r="AI2" s="5">
        <v>29</v>
      </c>
      <c r="AJ2" s="5">
        <v>30</v>
      </c>
      <c r="AK2" s="5"/>
    </row>
    <row r="3" spans="1:37" ht="15" thickBot="1" x14ac:dyDescent="0.35">
      <c r="A3" s="14"/>
      <c r="B3" s="9" t="s">
        <v>1</v>
      </c>
      <c r="C3" s="9">
        <v>0.1</v>
      </c>
      <c r="F3" s="5">
        <f t="shared" ref="F3:F29" si="1">F4+$C$5</f>
        <v>0.10000000000000007</v>
      </c>
      <c r="G3" s="6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6">
        <f>$D$14</f>
        <v>100</v>
      </c>
      <c r="AK3" s="5">
        <v>30</v>
      </c>
    </row>
    <row r="4" spans="1:37" ht="15" thickBot="1" x14ac:dyDescent="0.35">
      <c r="A4" s="14"/>
      <c r="B4" s="9" t="s">
        <v>2</v>
      </c>
      <c r="C4" s="9">
        <f>C2/29</f>
        <v>3.4482758620689659E-3</v>
      </c>
      <c r="F4" s="5">
        <f t="shared" si="1"/>
        <v>9.6551724137931103E-2</v>
      </c>
      <c r="G4" s="6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6">
        <f t="shared" ref="AJ4:AJ32" si="3">$D$14</f>
        <v>100</v>
      </c>
      <c r="AK4" s="5">
        <v>29</v>
      </c>
    </row>
    <row r="5" spans="1:37" ht="15" thickBot="1" x14ac:dyDescent="0.35">
      <c r="A5" s="14"/>
      <c r="B5" s="9" t="s">
        <v>3</v>
      </c>
      <c r="C5" s="9">
        <f>C3/29</f>
        <v>3.4482758620689659E-3</v>
      </c>
      <c r="F5" s="5">
        <f t="shared" si="1"/>
        <v>9.310344827586213E-2</v>
      </c>
      <c r="G5" s="6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6">
        <f t="shared" si="3"/>
        <v>100</v>
      </c>
      <c r="AK5" s="5">
        <v>28</v>
      </c>
    </row>
    <row r="6" spans="1:37" ht="15" thickBot="1" x14ac:dyDescent="0.35">
      <c r="A6" s="14"/>
      <c r="B6" s="9" t="s">
        <v>4</v>
      </c>
      <c r="C6" s="9">
        <v>200</v>
      </c>
      <c r="D6">
        <v>201</v>
      </c>
      <c r="F6" s="5">
        <f t="shared" si="1"/>
        <v>8.9655172413793158E-2</v>
      </c>
      <c r="G6" s="6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6">
        <f t="shared" si="3"/>
        <v>100</v>
      </c>
      <c r="AK6" s="5">
        <v>27</v>
      </c>
    </row>
    <row r="7" spans="1:37" ht="15" thickBot="1" x14ac:dyDescent="0.35">
      <c r="A7" s="14"/>
      <c r="B7" s="9" t="s">
        <v>5</v>
      </c>
      <c r="C7" s="9">
        <v>1</v>
      </c>
      <c r="F7" s="5">
        <f t="shared" si="1"/>
        <v>8.6206896551724185E-2</v>
      </c>
      <c r="G7" s="6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6">
        <f t="shared" si="3"/>
        <v>100</v>
      </c>
      <c r="AK7" s="5">
        <v>26</v>
      </c>
    </row>
    <row r="8" spans="1:37" ht="15" thickBot="1" x14ac:dyDescent="0.35">
      <c r="A8" s="7"/>
      <c r="B8" s="7"/>
      <c r="C8" s="7"/>
      <c r="D8" s="8"/>
      <c r="F8" s="5">
        <f t="shared" si="1"/>
        <v>8.2758620689655213E-2</v>
      </c>
      <c r="G8" s="6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6">
        <f t="shared" si="3"/>
        <v>100</v>
      </c>
      <c r="AK8" s="5">
        <v>25</v>
      </c>
    </row>
    <row r="9" spans="1:37" ht="15" thickBot="1" x14ac:dyDescent="0.35">
      <c r="A9" s="15" t="s">
        <v>26</v>
      </c>
      <c r="B9" s="10" t="s">
        <v>6</v>
      </c>
      <c r="C9" s="10">
        <v>460</v>
      </c>
      <c r="F9" s="5">
        <f t="shared" si="1"/>
        <v>7.931034482758624E-2</v>
      </c>
      <c r="G9" s="6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6">
        <f t="shared" si="3"/>
        <v>100</v>
      </c>
      <c r="AK9" s="5">
        <v>24</v>
      </c>
    </row>
    <row r="10" spans="1:37" ht="15" thickBot="1" x14ac:dyDescent="0.35">
      <c r="A10" s="15"/>
      <c r="B10" s="10" t="s">
        <v>7</v>
      </c>
      <c r="C10" s="10">
        <v>7800</v>
      </c>
      <c r="F10" s="5">
        <f t="shared" si="1"/>
        <v>7.5862068965517268E-2</v>
      </c>
      <c r="G10" s="6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6">
        <f t="shared" si="3"/>
        <v>100</v>
      </c>
      <c r="AK10" s="5">
        <v>23</v>
      </c>
    </row>
    <row r="11" spans="1:37" ht="15" thickBot="1" x14ac:dyDescent="0.35">
      <c r="A11" s="15"/>
      <c r="B11" s="10" t="s">
        <v>8</v>
      </c>
      <c r="C11" s="10">
        <v>46</v>
      </c>
      <c r="F11" s="5">
        <f t="shared" si="1"/>
        <v>7.2413793103448296E-2</v>
      </c>
      <c r="G11" s="6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6">
        <f t="shared" si="3"/>
        <v>100</v>
      </c>
      <c r="AK11" s="5">
        <v>22</v>
      </c>
    </row>
    <row r="12" spans="1:37" ht="15" thickBot="1" x14ac:dyDescent="0.35">
      <c r="F12" s="5">
        <f t="shared" si="1"/>
        <v>6.8965517241379323E-2</v>
      </c>
      <c r="G12" s="6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6">
        <f t="shared" si="3"/>
        <v>100</v>
      </c>
      <c r="AK12" s="5">
        <v>21</v>
      </c>
    </row>
    <row r="13" spans="1:37" ht="15" thickBot="1" x14ac:dyDescent="0.35">
      <c r="B13" s="16" t="s">
        <v>9</v>
      </c>
      <c r="C13" s="11" t="s">
        <v>10</v>
      </c>
      <c r="D13" s="11" t="s">
        <v>11</v>
      </c>
      <c r="F13" s="5">
        <f t="shared" si="1"/>
        <v>6.5517241379310351E-2</v>
      </c>
      <c r="G13" s="6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6">
        <f t="shared" si="3"/>
        <v>100</v>
      </c>
      <c r="AK13" s="5">
        <v>20</v>
      </c>
    </row>
    <row r="14" spans="1:37" ht="15" thickBot="1" x14ac:dyDescent="0.35">
      <c r="B14" s="16"/>
      <c r="C14" s="11">
        <v>300</v>
      </c>
      <c r="D14" s="11">
        <v>100</v>
      </c>
      <c r="F14" s="5">
        <f t="shared" si="1"/>
        <v>6.2068965517241385E-2</v>
      </c>
      <c r="G14" s="6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6">
        <f t="shared" si="3"/>
        <v>100</v>
      </c>
      <c r="AK14" s="5">
        <v>19</v>
      </c>
    </row>
    <row r="15" spans="1:37" ht="15" thickBot="1" x14ac:dyDescent="0.35">
      <c r="F15" s="5">
        <f t="shared" si="1"/>
        <v>5.862068965517242E-2</v>
      </c>
      <c r="G15" s="6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6">
        <f t="shared" si="3"/>
        <v>100</v>
      </c>
      <c r="AK15" s="5">
        <v>18</v>
      </c>
    </row>
    <row r="16" spans="1:37" ht="15" thickBot="1" x14ac:dyDescent="0.35">
      <c r="B16" s="17" t="s">
        <v>12</v>
      </c>
      <c r="C16" s="12" t="s">
        <v>13</v>
      </c>
      <c r="D16" s="12">
        <f>C11/C4^2</f>
        <v>3868599.9999999991</v>
      </c>
      <c r="F16" s="5">
        <f t="shared" si="1"/>
        <v>5.5172413793103454E-2</v>
      </c>
      <c r="G16" s="6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6">
        <f t="shared" si="3"/>
        <v>100</v>
      </c>
      <c r="AK16" s="5">
        <v>17</v>
      </c>
    </row>
    <row r="17" spans="2:37" ht="15" thickBot="1" x14ac:dyDescent="0.35">
      <c r="B17" s="17"/>
      <c r="C17" s="12" t="s">
        <v>14</v>
      </c>
      <c r="D17" s="12">
        <f>2*C11/C4^2+C10*C9/C7</f>
        <v>11325199.999999998</v>
      </c>
      <c r="F17" s="5">
        <f t="shared" si="1"/>
        <v>5.1724137931034489E-2</v>
      </c>
      <c r="G17" s="6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6">
        <f t="shared" si="3"/>
        <v>100</v>
      </c>
      <c r="AK17" s="5">
        <v>16</v>
      </c>
    </row>
    <row r="18" spans="2:37" ht="15" thickBot="1" x14ac:dyDescent="0.35">
      <c r="B18" s="17"/>
      <c r="C18" s="12" t="s">
        <v>15</v>
      </c>
      <c r="D18" s="12">
        <f>D16</f>
        <v>3868599.9999999991</v>
      </c>
      <c r="F18" s="5">
        <f t="shared" si="1"/>
        <v>4.8275862068965524E-2</v>
      </c>
      <c r="G18" s="6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6">
        <f t="shared" si="3"/>
        <v>100</v>
      </c>
      <c r="AK18" s="5">
        <v>15</v>
      </c>
    </row>
    <row r="19" spans="2:37" ht="15" thickBot="1" x14ac:dyDescent="0.35">
      <c r="F19" s="5">
        <f t="shared" si="1"/>
        <v>4.4827586206896558E-2</v>
      </c>
      <c r="G19" s="6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6">
        <f t="shared" si="3"/>
        <v>100</v>
      </c>
      <c r="AK19" s="5">
        <v>14</v>
      </c>
    </row>
    <row r="20" spans="2:37" ht="15" thickBot="1" x14ac:dyDescent="0.35">
      <c r="B20" s="18" t="s">
        <v>16</v>
      </c>
      <c r="C20" s="13" t="s">
        <v>13</v>
      </c>
      <c r="D20" s="13">
        <f>C11/C5^2</f>
        <v>3868599.9999999991</v>
      </c>
      <c r="F20" s="5">
        <f t="shared" si="1"/>
        <v>4.1379310344827593E-2</v>
      </c>
      <c r="G20" s="6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6">
        <f t="shared" si="3"/>
        <v>100</v>
      </c>
      <c r="AK20" s="5">
        <v>13</v>
      </c>
    </row>
    <row r="21" spans="2:37" ht="15" thickBot="1" x14ac:dyDescent="0.35">
      <c r="B21" s="18"/>
      <c r="C21" s="13" t="s">
        <v>14</v>
      </c>
      <c r="D21" s="13">
        <f>2*C11/C5^2+C10*C9/C7</f>
        <v>11325199.999999998</v>
      </c>
      <c r="F21" s="5">
        <f t="shared" si="1"/>
        <v>3.7931034482758627E-2</v>
      </c>
      <c r="G21" s="6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6">
        <f t="shared" si="3"/>
        <v>100</v>
      </c>
      <c r="AK21" s="5">
        <v>12</v>
      </c>
    </row>
    <row r="22" spans="2:37" ht="15" thickBot="1" x14ac:dyDescent="0.35">
      <c r="B22" s="18"/>
      <c r="C22" s="13" t="s">
        <v>15</v>
      </c>
      <c r="D22" s="13">
        <f>D20</f>
        <v>3868599.9999999991</v>
      </c>
      <c r="F22" s="5">
        <f t="shared" si="1"/>
        <v>3.4482758620689662E-2</v>
      </c>
      <c r="G22" s="6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6">
        <f t="shared" si="3"/>
        <v>100</v>
      </c>
      <c r="AK22" s="5">
        <v>11</v>
      </c>
    </row>
    <row r="23" spans="2:37" x14ac:dyDescent="0.3">
      <c r="F23" s="5">
        <f t="shared" si="1"/>
        <v>3.1034482758620693E-2</v>
      </c>
      <c r="G23" s="6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6">
        <f t="shared" si="3"/>
        <v>100</v>
      </c>
      <c r="AK23" s="5">
        <v>10</v>
      </c>
    </row>
    <row r="24" spans="2:37" x14ac:dyDescent="0.3">
      <c r="F24" s="5">
        <f t="shared" si="1"/>
        <v>2.7586206896551727E-2</v>
      </c>
      <c r="G24" s="6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6">
        <f t="shared" si="3"/>
        <v>100</v>
      </c>
      <c r="AK24" s="5">
        <v>9</v>
      </c>
    </row>
    <row r="25" spans="2:37" x14ac:dyDescent="0.3">
      <c r="F25" s="5">
        <f t="shared" si="1"/>
        <v>2.4137931034482762E-2</v>
      </c>
      <c r="G25" s="6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6">
        <f t="shared" si="3"/>
        <v>100</v>
      </c>
      <c r="AK25" s="5">
        <v>8</v>
      </c>
    </row>
    <row r="26" spans="2:37" x14ac:dyDescent="0.3">
      <c r="F26" s="5">
        <f t="shared" si="1"/>
        <v>2.0689655172413796E-2</v>
      </c>
      <c r="G26" s="6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6">
        <f t="shared" si="3"/>
        <v>100</v>
      </c>
      <c r="AK26" s="5">
        <v>7</v>
      </c>
    </row>
    <row r="27" spans="2:37" x14ac:dyDescent="0.3">
      <c r="F27" s="5">
        <f t="shared" si="1"/>
        <v>1.7241379310344831E-2</v>
      </c>
      <c r="G27" s="6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6">
        <f t="shared" si="3"/>
        <v>100</v>
      </c>
      <c r="AK27" s="5">
        <v>6</v>
      </c>
    </row>
    <row r="28" spans="2:37" x14ac:dyDescent="0.3">
      <c r="F28" s="5">
        <f t="shared" si="1"/>
        <v>1.3793103448275864E-2</v>
      </c>
      <c r="G28" s="6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6">
        <f t="shared" si="3"/>
        <v>100</v>
      </c>
      <c r="AK28" s="5">
        <v>5</v>
      </c>
    </row>
    <row r="29" spans="2:37" x14ac:dyDescent="0.3">
      <c r="F29" s="5">
        <f t="shared" si="1"/>
        <v>1.0344827586206898E-2</v>
      </c>
      <c r="G29" s="6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6">
        <f t="shared" si="3"/>
        <v>100</v>
      </c>
      <c r="AK29" s="5">
        <v>4</v>
      </c>
    </row>
    <row r="30" spans="2:37" x14ac:dyDescent="0.3">
      <c r="F30" s="5">
        <f>F31+$C$5</f>
        <v>6.8965517241379318E-3</v>
      </c>
      <c r="G30" s="6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6">
        <f t="shared" si="3"/>
        <v>100</v>
      </c>
      <c r="AK30" s="5">
        <v>3</v>
      </c>
    </row>
    <row r="31" spans="2:37" x14ac:dyDescent="0.3">
      <c r="F31" s="5">
        <f>F32+$C$5</f>
        <v>3.4482758620689659E-3</v>
      </c>
      <c r="G31" s="6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6">
        <f t="shared" si="3"/>
        <v>100</v>
      </c>
      <c r="AK31" s="5">
        <v>2</v>
      </c>
    </row>
    <row r="32" spans="2:37" x14ac:dyDescent="0.3">
      <c r="F32" s="5">
        <v>0</v>
      </c>
      <c r="G32" s="6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6">
        <f t="shared" si="3"/>
        <v>100</v>
      </c>
      <c r="AK32" s="5">
        <v>1</v>
      </c>
    </row>
    <row r="34" spans="4:132" x14ac:dyDescent="0.3">
      <c r="D34" s="19" t="s">
        <v>17</v>
      </c>
      <c r="E34" s="20"/>
      <c r="F34" s="4"/>
      <c r="G34" s="4">
        <v>30</v>
      </c>
      <c r="H34" s="4">
        <v>29</v>
      </c>
      <c r="I34" s="4">
        <v>28</v>
      </c>
      <c r="J34" s="4">
        <v>27</v>
      </c>
      <c r="K34" s="4">
        <v>26</v>
      </c>
      <c r="L34" s="4">
        <v>25</v>
      </c>
      <c r="M34" s="4">
        <v>24</v>
      </c>
      <c r="N34" s="4">
        <v>23</v>
      </c>
      <c r="O34" s="4">
        <v>22</v>
      </c>
      <c r="P34" s="4">
        <v>21</v>
      </c>
      <c r="Q34" s="4">
        <v>20</v>
      </c>
      <c r="R34" s="4">
        <v>19</v>
      </c>
      <c r="S34" s="4">
        <v>18</v>
      </c>
      <c r="T34" s="4">
        <v>17</v>
      </c>
      <c r="U34" s="4">
        <v>16</v>
      </c>
      <c r="V34" s="4">
        <v>15</v>
      </c>
      <c r="W34" s="4">
        <v>14</v>
      </c>
      <c r="X34" s="4">
        <v>13</v>
      </c>
      <c r="Y34" s="4">
        <v>12</v>
      </c>
      <c r="Z34" s="4">
        <v>11</v>
      </c>
      <c r="AA34" s="4">
        <v>10</v>
      </c>
      <c r="AB34" s="4">
        <v>9</v>
      </c>
      <c r="AC34" s="4">
        <v>8</v>
      </c>
      <c r="AD34" s="4">
        <v>7</v>
      </c>
      <c r="AE34" s="4">
        <v>6</v>
      </c>
      <c r="AF34" s="4">
        <v>5</v>
      </c>
      <c r="AG34" s="4">
        <v>4</v>
      </c>
      <c r="AH34" s="4">
        <v>3</v>
      </c>
      <c r="AI34" s="4">
        <v>2</v>
      </c>
      <c r="AJ34" s="4">
        <v>1</v>
      </c>
      <c r="AK34" s="19" t="s">
        <v>19</v>
      </c>
      <c r="AL34" s="19"/>
      <c r="AM34" s="4">
        <v>30</v>
      </c>
      <c r="AN34" s="4">
        <v>29</v>
      </c>
      <c r="AO34" s="4">
        <v>28</v>
      </c>
      <c r="AP34" s="4">
        <v>27</v>
      </c>
      <c r="AQ34" s="4">
        <v>26</v>
      </c>
      <c r="AR34" s="4">
        <v>25</v>
      </c>
      <c r="AS34" s="4">
        <v>24</v>
      </c>
      <c r="AT34" s="4">
        <v>23</v>
      </c>
      <c r="AU34" s="4">
        <v>22</v>
      </c>
      <c r="AV34" s="4">
        <v>21</v>
      </c>
      <c r="AW34" s="4">
        <v>20</v>
      </c>
      <c r="AX34" s="4">
        <v>19</v>
      </c>
      <c r="AY34" s="4">
        <v>18</v>
      </c>
      <c r="AZ34" s="4">
        <v>17</v>
      </c>
      <c r="BA34" s="4">
        <v>16</v>
      </c>
      <c r="BB34" s="4">
        <v>15</v>
      </c>
      <c r="BC34" s="4">
        <v>14</v>
      </c>
      <c r="BD34" s="4">
        <v>13</v>
      </c>
      <c r="BE34" s="4">
        <v>12</v>
      </c>
      <c r="BF34" s="4">
        <v>11</v>
      </c>
      <c r="BG34" s="4">
        <v>10</v>
      </c>
      <c r="BH34" s="4">
        <v>9</v>
      </c>
      <c r="BI34" s="4">
        <v>8</v>
      </c>
      <c r="BJ34" s="4">
        <v>7</v>
      </c>
      <c r="BK34" s="4">
        <v>6</v>
      </c>
      <c r="BL34" s="4">
        <v>5</v>
      </c>
      <c r="BM34" s="4">
        <v>4</v>
      </c>
      <c r="BN34" s="4">
        <v>3</v>
      </c>
      <c r="BO34" s="4">
        <v>2</v>
      </c>
      <c r="BP34" s="4">
        <v>1</v>
      </c>
      <c r="BQ34" s="19" t="s">
        <v>21</v>
      </c>
      <c r="BR34" s="19"/>
      <c r="BS34" s="4">
        <v>30</v>
      </c>
      <c r="BT34" s="4">
        <v>29</v>
      </c>
      <c r="BU34" s="4">
        <v>28</v>
      </c>
      <c r="BV34" s="4">
        <v>27</v>
      </c>
      <c r="BW34" s="4">
        <v>26</v>
      </c>
      <c r="BX34" s="4">
        <v>25</v>
      </c>
      <c r="BY34" s="4">
        <v>24</v>
      </c>
      <c r="BZ34" s="4">
        <v>23</v>
      </c>
      <c r="CA34" s="4">
        <v>22</v>
      </c>
      <c r="CB34" s="4">
        <v>21</v>
      </c>
      <c r="CC34" s="4">
        <v>20</v>
      </c>
      <c r="CD34" s="4">
        <v>19</v>
      </c>
      <c r="CE34" s="4">
        <v>18</v>
      </c>
      <c r="CF34" s="4">
        <v>17</v>
      </c>
      <c r="CG34" s="4">
        <v>16</v>
      </c>
      <c r="CH34" s="4">
        <v>15</v>
      </c>
      <c r="CI34" s="4">
        <v>14</v>
      </c>
      <c r="CJ34" s="4">
        <v>13</v>
      </c>
      <c r="CK34" s="4">
        <v>12</v>
      </c>
      <c r="CL34" s="4">
        <v>11</v>
      </c>
      <c r="CM34" s="4">
        <v>10</v>
      </c>
      <c r="CN34" s="4">
        <v>9</v>
      </c>
      <c r="CO34" s="4">
        <v>8</v>
      </c>
      <c r="CP34" s="4">
        <v>7</v>
      </c>
      <c r="CQ34" s="4">
        <v>6</v>
      </c>
      <c r="CR34" s="4">
        <v>5</v>
      </c>
      <c r="CS34" s="4">
        <v>4</v>
      </c>
      <c r="CT34" s="4">
        <v>3</v>
      </c>
      <c r="CU34" s="4">
        <v>2</v>
      </c>
      <c r="CV34" s="4">
        <v>1</v>
      </c>
      <c r="CW34" s="19" t="s">
        <v>23</v>
      </c>
      <c r="CX34" s="19"/>
      <c r="CY34" s="4">
        <v>30</v>
      </c>
      <c r="CZ34" s="4">
        <v>29</v>
      </c>
      <c r="DA34" s="4">
        <v>28</v>
      </c>
      <c r="DB34" s="4">
        <v>27</v>
      </c>
      <c r="DC34" s="4">
        <v>26</v>
      </c>
      <c r="DD34" s="4">
        <v>25</v>
      </c>
      <c r="DE34" s="4">
        <v>24</v>
      </c>
      <c r="DF34" s="4">
        <v>23</v>
      </c>
      <c r="DG34" s="4">
        <v>22</v>
      </c>
      <c r="DH34" s="4">
        <v>21</v>
      </c>
      <c r="DI34" s="4">
        <v>20</v>
      </c>
      <c r="DJ34" s="4">
        <v>19</v>
      </c>
      <c r="DK34" s="4">
        <v>18</v>
      </c>
      <c r="DL34" s="4">
        <v>17</v>
      </c>
      <c r="DM34" s="4">
        <v>16</v>
      </c>
      <c r="DN34" s="4">
        <v>15</v>
      </c>
      <c r="DO34" s="4">
        <v>14</v>
      </c>
      <c r="DP34" s="4">
        <v>13</v>
      </c>
      <c r="DQ34" s="4">
        <v>12</v>
      </c>
      <c r="DR34" s="4">
        <v>11</v>
      </c>
      <c r="DS34" s="4">
        <v>10</v>
      </c>
      <c r="DT34" s="4">
        <v>9</v>
      </c>
      <c r="DU34" s="4">
        <v>8</v>
      </c>
      <c r="DV34" s="4">
        <v>7</v>
      </c>
      <c r="DW34" s="4">
        <v>6</v>
      </c>
      <c r="DX34" s="4">
        <v>5</v>
      </c>
      <c r="DY34" s="4">
        <v>4</v>
      </c>
      <c r="DZ34" s="4">
        <v>3</v>
      </c>
      <c r="EA34" s="4">
        <v>2</v>
      </c>
      <c r="EB34" s="4">
        <v>1</v>
      </c>
    </row>
    <row r="35" spans="4:132" x14ac:dyDescent="0.3">
      <c r="D35" s="20"/>
      <c r="E35" s="20"/>
      <c r="F35" s="4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19"/>
      <c r="AL35" s="19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19"/>
      <c r="BR35" s="19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19"/>
      <c r="CX35" s="19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3">
      <c r="D36" s="20"/>
      <c r="E36" s="20"/>
      <c r="F36" s="4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19"/>
      <c r="AL36" s="19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19"/>
      <c r="BR36" s="19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19"/>
      <c r="CX36" s="19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3">
      <c r="D37" s="20"/>
      <c r="E37" s="20"/>
      <c r="F37" s="4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19"/>
      <c r="AL37" s="19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19"/>
      <c r="BR37" s="19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19"/>
      <c r="CX37" s="19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3">
      <c r="D38" s="20"/>
      <c r="E38" s="20"/>
      <c r="F38" s="4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19"/>
      <c r="AL38" s="19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19"/>
      <c r="BR38" s="19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19"/>
      <c r="CX38" s="19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3">
      <c r="D39" s="20"/>
      <c r="E39" s="20"/>
      <c r="F39" s="4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19"/>
      <c r="AL39" s="19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19"/>
      <c r="BR39" s="19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19"/>
      <c r="CX39" s="19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3">
      <c r="D40" s="20"/>
      <c r="E40" s="20"/>
      <c r="F40" s="4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19"/>
      <c r="AL40" s="19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19"/>
      <c r="BR40" s="19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19"/>
      <c r="CX40" s="19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3">
      <c r="D41" s="20"/>
      <c r="E41" s="20"/>
      <c r="F41" s="4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19"/>
      <c r="AL41" s="19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19"/>
      <c r="BR41" s="19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19"/>
      <c r="CX41" s="19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3">
      <c r="D42" s="20"/>
      <c r="E42" s="20"/>
      <c r="F42" s="4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19"/>
      <c r="AL42" s="19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19"/>
      <c r="BR42" s="19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19"/>
      <c r="CX42" s="19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3">
      <c r="D43" s="20"/>
      <c r="E43" s="20"/>
      <c r="F43" s="4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19"/>
      <c r="AL43" s="19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19"/>
      <c r="BR43" s="19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19"/>
      <c r="CX43" s="19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3">
      <c r="D44" s="20"/>
      <c r="E44" s="20"/>
      <c r="F44" s="4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19"/>
      <c r="AL44" s="19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19"/>
      <c r="BR44" s="19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19"/>
      <c r="CX44" s="19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3">
      <c r="D45" s="20"/>
      <c r="E45" s="20"/>
      <c r="F45" s="4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19"/>
      <c r="AL45" s="19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19"/>
      <c r="BR45" s="19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19"/>
      <c r="CX45" s="19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3">
      <c r="D46" s="20"/>
      <c r="E46" s="20"/>
      <c r="F46" s="4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19"/>
      <c r="AL46" s="19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19"/>
      <c r="BR46" s="19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19"/>
      <c r="CX46" s="19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3">
      <c r="D47" s="20"/>
      <c r="E47" s="20"/>
      <c r="F47" s="4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19"/>
      <c r="AL47" s="19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19"/>
      <c r="BR47" s="19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19"/>
      <c r="CX47" s="19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3">
      <c r="D48" s="20"/>
      <c r="E48" s="20"/>
      <c r="F48" s="4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19"/>
      <c r="AL48" s="19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19"/>
      <c r="BR48" s="19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19"/>
      <c r="CX48" s="19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3">
      <c r="D49" s="20"/>
      <c r="E49" s="20"/>
      <c r="F49" s="4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19"/>
      <c r="AL49" s="19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19"/>
      <c r="BR49" s="19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19"/>
      <c r="CX49" s="19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3">
      <c r="D50" s="20"/>
      <c r="E50" s="20"/>
      <c r="F50" s="4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19"/>
      <c r="AL50" s="19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19"/>
      <c r="BR50" s="19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19"/>
      <c r="CX50" s="19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3">
      <c r="D51" s="20"/>
      <c r="E51" s="20"/>
      <c r="F51" s="4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19"/>
      <c r="AL51" s="19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19"/>
      <c r="BR51" s="19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19"/>
      <c r="CX51" s="19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3">
      <c r="D52" s="20"/>
      <c r="E52" s="20"/>
      <c r="F52" s="4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19"/>
      <c r="AL52" s="19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19"/>
      <c r="BR52" s="19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19"/>
      <c r="CX52" s="19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3">
      <c r="D53" s="20"/>
      <c r="E53" s="20"/>
      <c r="F53" s="4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19"/>
      <c r="AL53" s="19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19"/>
      <c r="BR53" s="19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19"/>
      <c r="CX53" s="19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3">
      <c r="D54" s="20"/>
      <c r="E54" s="20"/>
      <c r="F54" s="4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19"/>
      <c r="AL54" s="19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19"/>
      <c r="BR54" s="19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19"/>
      <c r="CX54" s="19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3">
      <c r="D55" s="20"/>
      <c r="E55" s="20"/>
      <c r="F55" s="4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19"/>
      <c r="AL55" s="19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19"/>
      <c r="BR55" s="19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19"/>
      <c r="CX55" s="19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3">
      <c r="D56" s="20"/>
      <c r="E56" s="20"/>
      <c r="F56" s="4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19"/>
      <c r="AL56" s="19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19"/>
      <c r="BR56" s="19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19"/>
      <c r="CX56" s="19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3">
      <c r="D57" s="20"/>
      <c r="E57" s="20"/>
      <c r="F57" s="4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19"/>
      <c r="AL57" s="19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19"/>
      <c r="BR57" s="19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19"/>
      <c r="CX57" s="19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3">
      <c r="D58" s="20"/>
      <c r="E58" s="20"/>
      <c r="F58" s="4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19"/>
      <c r="AL58" s="19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19"/>
      <c r="BR58" s="19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19"/>
      <c r="CX58" s="19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3">
      <c r="D59" s="20"/>
      <c r="E59" s="20"/>
      <c r="F59" s="4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19"/>
      <c r="AL59" s="19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19"/>
      <c r="BR59" s="19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19"/>
      <c r="CX59" s="19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3">
      <c r="D60" s="20"/>
      <c r="E60" s="20"/>
      <c r="F60" s="4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19"/>
      <c r="AL60" s="19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19"/>
      <c r="BR60" s="19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19"/>
      <c r="CX60" s="19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3">
      <c r="D61" s="20"/>
      <c r="E61" s="20"/>
      <c r="F61" s="4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19"/>
      <c r="AL61" s="19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19"/>
      <c r="BR61" s="19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19"/>
      <c r="CX61" s="19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3">
      <c r="D62" s="20"/>
      <c r="E62" s="20"/>
      <c r="F62" s="4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19"/>
      <c r="AL62" s="19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19"/>
      <c r="BR62" s="19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19"/>
      <c r="CX62" s="19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3">
      <c r="D63" s="20"/>
      <c r="E63" s="20"/>
      <c r="F63" s="4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19"/>
      <c r="AL63" s="19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19"/>
      <c r="BR63" s="19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19"/>
      <c r="CX63" s="19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3">
      <c r="D64" s="20"/>
      <c r="E64" s="20"/>
      <c r="F64" s="4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19"/>
      <c r="AL64" s="19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19"/>
      <c r="BR64" s="19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19"/>
      <c r="CX64" s="19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3">
      <c r="D66" s="19" t="s">
        <v>18</v>
      </c>
      <c r="E66" s="19"/>
      <c r="F66" s="4"/>
      <c r="G66" s="4">
        <v>30</v>
      </c>
      <c r="H66" s="4">
        <v>29</v>
      </c>
      <c r="I66" s="4">
        <v>28</v>
      </c>
      <c r="J66" s="4">
        <v>27</v>
      </c>
      <c r="K66" s="4">
        <v>26</v>
      </c>
      <c r="L66" s="4">
        <v>25</v>
      </c>
      <c r="M66" s="4">
        <v>24</v>
      </c>
      <c r="N66" s="4">
        <v>23</v>
      </c>
      <c r="O66" s="4">
        <v>22</v>
      </c>
      <c r="P66" s="4">
        <v>21</v>
      </c>
      <c r="Q66" s="4">
        <v>20</v>
      </c>
      <c r="R66" s="4">
        <v>19</v>
      </c>
      <c r="S66" s="4">
        <v>18</v>
      </c>
      <c r="T66" s="4">
        <v>17</v>
      </c>
      <c r="U66" s="4">
        <v>16</v>
      </c>
      <c r="V66" s="4">
        <v>15</v>
      </c>
      <c r="W66" s="4">
        <v>14</v>
      </c>
      <c r="X66" s="4">
        <v>13</v>
      </c>
      <c r="Y66" s="4">
        <v>12</v>
      </c>
      <c r="Z66" s="4">
        <v>11</v>
      </c>
      <c r="AA66" s="4">
        <v>10</v>
      </c>
      <c r="AB66" s="4">
        <v>9</v>
      </c>
      <c r="AC66" s="4">
        <v>8</v>
      </c>
      <c r="AD66" s="4">
        <v>7</v>
      </c>
      <c r="AE66" s="4">
        <v>6</v>
      </c>
      <c r="AF66" s="4">
        <v>5</v>
      </c>
      <c r="AG66" s="4">
        <v>4</v>
      </c>
      <c r="AH66" s="4">
        <v>3</v>
      </c>
      <c r="AI66" s="4">
        <v>2</v>
      </c>
      <c r="AJ66" s="4">
        <v>1</v>
      </c>
      <c r="AK66" s="19" t="s">
        <v>20</v>
      </c>
      <c r="AL66" s="19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9" t="s">
        <v>22</v>
      </c>
      <c r="BR66" s="19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19" t="s">
        <v>24</v>
      </c>
      <c r="CX66" s="19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19"/>
      <c r="E67" s="19"/>
      <c r="F67" s="4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19"/>
      <c r="AL67" s="19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19"/>
      <c r="BR67" s="19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19"/>
      <c r="CX67" s="19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3">
      <c r="D68" s="19"/>
      <c r="E68" s="19"/>
      <c r="F68" s="4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19"/>
      <c r="AL68" s="19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19"/>
      <c r="BR68" s="19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19"/>
      <c r="CX68" s="19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3">
      <c r="D69" s="19"/>
      <c r="E69" s="19"/>
      <c r="F69" s="4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19"/>
      <c r="AL69" s="19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19"/>
      <c r="BR69" s="19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19"/>
      <c r="CX69" s="19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3">
      <c r="D70" s="19"/>
      <c r="E70" s="19"/>
      <c r="F70" s="4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19"/>
      <c r="AL70" s="19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19"/>
      <c r="BR70" s="19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19"/>
      <c r="CX70" s="19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3">
      <c r="D71" s="19"/>
      <c r="E71" s="19"/>
      <c r="F71" s="4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19"/>
      <c r="AL71" s="19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19"/>
      <c r="BR71" s="19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19"/>
      <c r="CX71" s="19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3">
      <c r="D72" s="19"/>
      <c r="E72" s="19"/>
      <c r="F72" s="4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19"/>
      <c r="AL72" s="19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19"/>
      <c r="BR72" s="19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19"/>
      <c r="CX72" s="19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3">
      <c r="D73" s="19"/>
      <c r="E73" s="19"/>
      <c r="F73" s="4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19"/>
      <c r="AL73" s="19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19"/>
      <c r="BR73" s="19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19"/>
      <c r="CX73" s="19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3">
      <c r="D74" s="19"/>
      <c r="E74" s="19"/>
      <c r="F74" s="4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19"/>
      <c r="AL74" s="19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19"/>
      <c r="BR74" s="19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19"/>
      <c r="CX74" s="19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3">
      <c r="D75" s="19"/>
      <c r="E75" s="19"/>
      <c r="F75" s="4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19"/>
      <c r="AL75" s="19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19"/>
      <c r="BR75" s="19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19"/>
      <c r="CX75" s="19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3">
      <c r="D76" s="19"/>
      <c r="E76" s="19"/>
      <c r="F76" s="4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19"/>
      <c r="AL76" s="19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19"/>
      <c r="BR76" s="19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19"/>
      <c r="CX76" s="19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3">
      <c r="D77" s="19"/>
      <c r="E77" s="19"/>
      <c r="F77" s="4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19"/>
      <c r="AL77" s="19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19"/>
      <c r="BR77" s="19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19"/>
      <c r="CX77" s="19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3">
      <c r="D78" s="19"/>
      <c r="E78" s="19"/>
      <c r="F78" s="4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19"/>
      <c r="AL78" s="19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19"/>
      <c r="BR78" s="19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19"/>
      <c r="CX78" s="19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3">
      <c r="D79" s="19"/>
      <c r="E79" s="19"/>
      <c r="F79" s="4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19"/>
      <c r="AL79" s="19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19"/>
      <c r="BR79" s="19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19"/>
      <c r="CX79" s="19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3">
      <c r="D80" s="19"/>
      <c r="E80" s="19"/>
      <c r="F80" s="4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19"/>
      <c r="AL80" s="19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19"/>
      <c r="BR80" s="19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19"/>
      <c r="CX80" s="19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3">
      <c r="D81" s="19"/>
      <c r="E81" s="19"/>
      <c r="F81" s="4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19"/>
      <c r="AL81" s="19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19"/>
      <c r="BR81" s="19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19"/>
      <c r="CX81" s="19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3">
      <c r="D82" s="19"/>
      <c r="E82" s="19"/>
      <c r="F82" s="4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19"/>
      <c r="AL82" s="19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19"/>
      <c r="BR82" s="19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19"/>
      <c r="CX82" s="19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3">
      <c r="D83" s="19"/>
      <c r="E83" s="19"/>
      <c r="F83" s="4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19"/>
      <c r="AL83" s="19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19"/>
      <c r="BR83" s="19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19"/>
      <c r="CX83" s="19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3">
      <c r="D84" s="19"/>
      <c r="E84" s="19"/>
      <c r="F84" s="4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19"/>
      <c r="AL84" s="19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19"/>
      <c r="BR84" s="19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19"/>
      <c r="CX84" s="19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3">
      <c r="D85" s="19"/>
      <c r="E85" s="19"/>
      <c r="F85" s="4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19"/>
      <c r="AL85" s="19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19"/>
      <c r="BR85" s="19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19"/>
      <c r="CX85" s="19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3">
      <c r="D86" s="19"/>
      <c r="E86" s="19"/>
      <c r="F86" s="4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19"/>
      <c r="AL86" s="19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19"/>
      <c r="BR86" s="19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19"/>
      <c r="CX86" s="19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3">
      <c r="D87" s="19"/>
      <c r="E87" s="19"/>
      <c r="F87" s="4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19"/>
      <c r="AL87" s="19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19"/>
      <c r="BR87" s="19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19"/>
      <c r="CX87" s="19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3">
      <c r="D88" s="19"/>
      <c r="E88" s="19"/>
      <c r="F88" s="4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19"/>
      <c r="AL88" s="19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19"/>
      <c r="BR88" s="19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19"/>
      <c r="CX88" s="19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3">
      <c r="D89" s="19"/>
      <c r="E89" s="19"/>
      <c r="F89" s="4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19"/>
      <c r="AL89" s="19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19"/>
      <c r="BR89" s="19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19"/>
      <c r="CX89" s="19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3">
      <c r="D90" s="19"/>
      <c r="E90" s="19"/>
      <c r="F90" s="4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19"/>
      <c r="AL90" s="19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19"/>
      <c r="BR90" s="19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19"/>
      <c r="CX90" s="19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3">
      <c r="D91" s="19"/>
      <c r="E91" s="19"/>
      <c r="F91" s="4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19"/>
      <c r="AL91" s="19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19"/>
      <c r="BR91" s="19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19"/>
      <c r="CX91" s="19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3">
      <c r="D92" s="19"/>
      <c r="E92" s="19"/>
      <c r="F92" s="4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19"/>
      <c r="AL92" s="19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19"/>
      <c r="BR92" s="19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19"/>
      <c r="CX92" s="19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3">
      <c r="D93" s="19"/>
      <c r="E93" s="19"/>
      <c r="F93" s="4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19"/>
      <c r="AL93" s="19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19"/>
      <c r="BR93" s="19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19"/>
      <c r="CX93" s="19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3">
      <c r="D94" s="19"/>
      <c r="E94" s="19"/>
      <c r="F94" s="4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19"/>
      <c r="AL94" s="19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19"/>
      <c r="BR94" s="19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19"/>
      <c r="CX94" s="19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3">
      <c r="D95" s="19"/>
      <c r="E95" s="19"/>
      <c r="F95" s="4">
        <v>2</v>
      </c>
      <c r="G95" s="2">
        <f>$D$20/($D$21-$D$22*G96)</f>
        <v>0.51881554595928436</v>
      </c>
      <c r="H95" s="3">
        <f t="shared" ref="H95:AJ95" si="279">$D$20/($D$21-$D$22*H96)</f>
        <v>0.51881554595928436</v>
      </c>
      <c r="I95" s="3">
        <f t="shared" si="279"/>
        <v>0.51881554595928436</v>
      </c>
      <c r="J95" s="3">
        <f t="shared" si="279"/>
        <v>0.51881554595928436</v>
      </c>
      <c r="K95" s="3">
        <f t="shared" si="279"/>
        <v>0.51881554595928436</v>
      </c>
      <c r="L95" s="3">
        <f t="shared" si="279"/>
        <v>0.51881554595928436</v>
      </c>
      <c r="M95" s="3">
        <f t="shared" si="279"/>
        <v>0.51881554595928436</v>
      </c>
      <c r="N95" s="3">
        <f t="shared" si="279"/>
        <v>0.51881554595928436</v>
      </c>
      <c r="O95" s="3">
        <f t="shared" si="279"/>
        <v>0.51881554595928436</v>
      </c>
      <c r="P95" s="3">
        <f t="shared" si="279"/>
        <v>0.51881554595928436</v>
      </c>
      <c r="Q95" s="3">
        <f t="shared" si="279"/>
        <v>0.51881554595928436</v>
      </c>
      <c r="R95" s="3">
        <f t="shared" si="279"/>
        <v>0.51881554595928436</v>
      </c>
      <c r="S95" s="3">
        <f t="shared" si="279"/>
        <v>0.51881554595928436</v>
      </c>
      <c r="T95" s="3">
        <f t="shared" si="279"/>
        <v>0.51881554595928436</v>
      </c>
      <c r="U95" s="3">
        <f t="shared" si="279"/>
        <v>0.51881554595928436</v>
      </c>
      <c r="V95" s="3">
        <f t="shared" si="279"/>
        <v>0.51881554595928436</v>
      </c>
      <c r="W95" s="3">
        <f t="shared" si="279"/>
        <v>0.51881554595928436</v>
      </c>
      <c r="X95" s="3">
        <f t="shared" si="279"/>
        <v>0.51881554595928436</v>
      </c>
      <c r="Y95" s="3">
        <f t="shared" si="279"/>
        <v>0.51881554595928436</v>
      </c>
      <c r="Z95" s="3">
        <f t="shared" si="279"/>
        <v>0.51881554595928436</v>
      </c>
      <c r="AA95" s="3">
        <f t="shared" si="279"/>
        <v>0.51881554595928436</v>
      </c>
      <c r="AB95" s="3">
        <f t="shared" si="279"/>
        <v>0.51881554595928436</v>
      </c>
      <c r="AC95" s="3">
        <f t="shared" si="279"/>
        <v>0.51881554595928436</v>
      </c>
      <c r="AD95" s="3">
        <f t="shared" si="279"/>
        <v>0.51881554595928436</v>
      </c>
      <c r="AE95" s="3">
        <f t="shared" si="279"/>
        <v>0.51881554595928436</v>
      </c>
      <c r="AF95" s="3">
        <f t="shared" si="279"/>
        <v>0.51881554595928436</v>
      </c>
      <c r="AG95" s="3">
        <f>$D$20/($D$21-$D$22*AG96)</f>
        <v>0.51881554595928436</v>
      </c>
      <c r="AH95" s="3">
        <f t="shared" si="279"/>
        <v>0.51881554595928436</v>
      </c>
      <c r="AI95" s="3">
        <f t="shared" si="279"/>
        <v>0.51881554595928436</v>
      </c>
      <c r="AJ95" s="2">
        <f t="shared" si="279"/>
        <v>0.51881554595928436</v>
      </c>
      <c r="AK95" s="19"/>
      <c r="AL95" s="19"/>
      <c r="AM95" s="2">
        <f>(AM96*$D$22-BS95)/($D$21-$D$22*G96)</f>
        <v>144.3553362122147</v>
      </c>
      <c r="AN95" s="3">
        <f>(AN96*$D$22-BT95)/($D$21-$D$22*H96)</f>
        <v>139.99005390230545</v>
      </c>
      <c r="AO95" s="3">
        <f t="shared" ref="AO95:BP95" si="280">(AO96*$D$22-BU95)/($D$21-$D$22*I96)</f>
        <v>135.63705512810301</v>
      </c>
      <c r="AP95" s="3">
        <f t="shared" si="280"/>
        <v>131.30847889171787</v>
      </c>
      <c r="AQ95" s="3">
        <f t="shared" si="280"/>
        <v>127.01617684692705</v>
      </c>
      <c r="AR95" s="3">
        <f t="shared" si="280"/>
        <v>122.77157390086521</v>
      </c>
      <c r="AS95" s="3">
        <f t="shared" si="280"/>
        <v>118.58553388743564</v>
      </c>
      <c r="AT95" s="3">
        <f t="shared" si="280"/>
        <v>114.4682319050668</v>
      </c>
      <c r="AU95" s="3">
        <f t="shared" si="280"/>
        <v>110.4290348292722</v>
      </c>
      <c r="AV95" s="3">
        <f t="shared" si="280"/>
        <v>106.47639140995175</v>
      </c>
      <c r="AW95" s="3">
        <f t="shared" si="280"/>
        <v>102.6177332459001</v>
      </c>
      <c r="AX95" s="3">
        <f t="shared" si="280"/>
        <v>98.859387796175184</v>
      </c>
      <c r="AY95" s="3">
        <f t="shared" si="280"/>
        <v>95.206504441637946</v>
      </c>
      <c r="AZ95" s="3">
        <f t="shared" si="280"/>
        <v>91.662994452054377</v>
      </c>
      <c r="BA95" s="3">
        <f t="shared" si="280"/>
        <v>88.231485546742078</v>
      </c>
      <c r="BB95" s="3">
        <f t="shared" si="280"/>
        <v>84.913291562009292</v>
      </c>
      <c r="BC95" s="3">
        <f t="shared" si="280"/>
        <v>81.708397558792797</v>
      </c>
      <c r="BD95" s="3">
        <f t="shared" si="280"/>
        <v>78.615460521191849</v>
      </c>
      <c r="BE95" s="3">
        <f t="shared" si="280"/>
        <v>75.631825613235591</v>
      </c>
      <c r="BF95" s="3">
        <f t="shared" si="280"/>
        <v>72.753557779388785</v>
      </c>
      <c r="BG95" s="3">
        <f t="shared" si="280"/>
        <v>69.975488296101176</v>
      </c>
      <c r="BH95" s="3">
        <f t="shared" si="280"/>
        <v>67.29127570914811</v>
      </c>
      <c r="BI95" s="3">
        <f t="shared" si="280"/>
        <v>64.693480426489543</v>
      </c>
      <c r="BJ95" s="3">
        <f t="shared" si="280"/>
        <v>62.173652080656254</v>
      </c>
      <c r="BK95" s="3">
        <f t="shared" si="280"/>
        <v>59.722428629877712</v>
      </c>
      <c r="BL95" s="3">
        <f t="shared" si="280"/>
        <v>57.329646034760145</v>
      </c>
      <c r="BM95" s="3">
        <f t="shared" si="280"/>
        <v>54.984457228618368</v>
      </c>
      <c r="BN95" s="3">
        <f t="shared" si="280"/>
        <v>52.675458995702805</v>
      </c>
      <c r="BO95" s="3">
        <f t="shared" si="280"/>
        <v>50.39082528352359</v>
      </c>
      <c r="BP95" s="2">
        <f t="shared" si="280"/>
        <v>48.118445404071565</v>
      </c>
      <c r="BQ95" s="19"/>
      <c r="BR95" s="19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19"/>
      <c r="CX95" s="19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3">
      <c r="D96" s="19"/>
      <c r="E96" s="19"/>
      <c r="F96" s="4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19"/>
      <c r="AL96" s="19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19"/>
      <c r="BR96" s="19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19"/>
      <c r="CX96" s="19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13">
    <mergeCell ref="CW34:CX64"/>
    <mergeCell ref="CW66:CX96"/>
    <mergeCell ref="D34:E64"/>
    <mergeCell ref="D66:E96"/>
    <mergeCell ref="AK34:AL64"/>
    <mergeCell ref="AK66:AL96"/>
    <mergeCell ref="BQ34:BR64"/>
    <mergeCell ref="BQ66:BR96"/>
    <mergeCell ref="A2:A7"/>
    <mergeCell ref="A9:A11"/>
    <mergeCell ref="B13:B14"/>
    <mergeCell ref="B16:B18"/>
    <mergeCell ref="B20:B22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2021-03-25T07:15:14Z</dcterms:created>
  <dcterms:modified xsi:type="dcterms:W3CDTF">2021-04-19T18:09:46Z</dcterms:modified>
</cp:coreProperties>
</file>